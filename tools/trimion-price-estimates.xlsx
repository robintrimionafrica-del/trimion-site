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Prices" sheetId="2" state="visible" r:id="rId4"/>
    <sheet name="Already priced" sheetId="3" state="visible" r:id="rId5"/>
  </sheets>
  <definedNames>
    <definedName function="false" hidden="true" localSheetId="1" name="_xlnm._FilterDatabase" vbProcedure="false">Prices!$A$1:$N$144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<sst xmlns="http://schemas.openxmlformats.org/spreadsheetml/2006/main" count="959" uniqueCount="543">
  <si>
    <t xml:space="preserve">Pricing settings (change the yellow cells; every price updates)</t>
  </si>
  <si>
    <t xml:space="preserve">USD to ZAR exchange rate</t>
  </si>
  <si>
    <t xml:space="preserve">Source: currencyconvert.online, 14 Oct 2026 05:00 UTC (R16.4573)</t>
  </si>
  <si>
    <t xml:space="preserve">Shipping, clearing &amp; duty (machines)</t>
  </si>
  <si>
    <t xml:space="preserve">Estimate: % of factory price to land a machine in Durban. Replace with your real figure.</t>
  </si>
  <si>
    <t xml:space="preserve">Shipping, clearing &amp; duty (consumables)</t>
  </si>
  <si>
    <t xml:space="preserve">Estimate: small items cost more per rand to ship.</t>
  </si>
  <si>
    <t xml:space="preserve">Markup on landed cost</t>
  </si>
  <si>
    <t xml:space="preserve">You asked for 35-40%; 37.5% is the middle. Change per row in the Prices sheet if needed.</t>
  </si>
  <si>
    <t xml:space="preserve">Round website price up to nearest (R)</t>
  </si>
  <si>
    <t xml:space="preserve">How the price is worked out</t>
  </si>
  <si>
    <t xml:space="preserve">1. Estimated factory price (USD): from Made-in-China.com listings for the same type of machine, scaled to Alibaba factory level so it lines up with your 21 existing prices.</t>
  </si>
  <si>
    <t xml:space="preserve">2. Landed cost (R) = factory price x exchange rate x (1 + shipping, clearing &amp; duty).</t>
  </si>
  <si>
    <t xml:space="preserve">3. Website price = landed cost x (1 + markup), rounded up to the nearest R50.</t>
  </si>
  <si>
    <t xml:space="preserve">Blue numbers are estimates you can overwrite with your real supplier price (USD). Confidence shows how sure the estimate is: replace Low ones first.</t>
  </si>
  <si>
    <t xml:space="preserve">Alibaba blocks automated reading, so these are not your actual supplier quotes. Check before relying on them.</t>
  </si>
  <si>
    <t xml:space="preserve">#</t>
  </si>
  <si>
    <t xml:space="preserve">Machine</t>
  </si>
  <si>
    <t xml:space="preserve">Model</t>
  </si>
  <si>
    <t xml:space="preserve">Category</t>
  </si>
  <si>
    <t xml:space="preserve">Est. factory price (USD)</t>
  </si>
  <si>
    <t xml:space="preserve">Confidence</t>
  </si>
  <si>
    <t xml:space="preserve">Basis for the estimate</t>
  </si>
  <si>
    <t xml:space="preserve">Shipping, clearing &amp; duty %</t>
  </si>
  <si>
    <t xml:space="preserve">Landed cost (R)</t>
  </si>
  <si>
    <t xml:space="preserve">Markup %</t>
  </si>
  <si>
    <t xml:space="preserve">Website price (R)</t>
  </si>
  <si>
    <t xml:space="preserve">Profit per sale (R)</t>
  </si>
  <si>
    <t xml:space="preserve">Margin on price %</t>
  </si>
  <si>
    <t xml:space="preserve">Link</t>
  </si>
  <si>
    <t xml:space="preserve">6-Handle Vacuum Roller Body &amp; Face Machine</t>
  </si>
  <si>
    <t xml:space="preserve">TAVR6</t>
  </si>
  <si>
    <t xml:space="preserve">Body massage</t>
  </si>
  <si>
    <t xml:space="preserve">Medium</t>
  </si>
  <si>
    <t xml:space="preserve">Made-in-China vacuum roller listings US$1,100-4,200; your 360 roller R18,599 as anchor</t>
  </si>
  <si>
    <t xml:space="preserve">https://trimionafrica.co.za/p/m53</t>
  </si>
  <si>
    <t xml:space="preserve">5-Handle Vacuum Roller Body Machine</t>
  </si>
  <si>
    <t xml:space="preserve">TAVR5</t>
  </si>
  <si>
    <t xml:space="preserve">https://trimionafrica.co.za/p/m54</t>
  </si>
  <si>
    <t xml:space="preserve">2-Handle Vacuum Roller Machine</t>
  </si>
  <si>
    <t xml:space="preserve">TAVR2</t>
  </si>
  <si>
    <t xml:space="preserve">https://trimionafrica.co.za/p/m55</t>
  </si>
  <si>
    <t xml:space="preserve">2-in-1 Pressotherapy System</t>
  </si>
  <si>
    <t xml:space="preserve">TAPT2</t>
  </si>
  <si>
    <t xml:space="preserve">Made-in-China pressotherapy listings: 24 airbags US$699-999, EMS + far infrared US$439-599, suits US$800-1,300</t>
  </si>
  <si>
    <t xml:space="preserve">https://trimionafrica.co.za/p/m56</t>
  </si>
  <si>
    <t xml:space="preserve">3-in-1 Pressotherapy System</t>
  </si>
  <si>
    <t xml:space="preserve">TAPT3</t>
  </si>
  <si>
    <t xml:space="preserve">https://trimionafrica.co.za/p/m57</t>
  </si>
  <si>
    <t xml:space="preserve">Far Infrared Pressotherapy System (16 Air Bags)</t>
  </si>
  <si>
    <t xml:space="preserve">TAPTF1</t>
  </si>
  <si>
    <t xml:space="preserve">https://trimionafrica.co.za/p/m134</t>
  </si>
  <si>
    <t xml:space="preserve">Far Infrared Pressotherapy System II (16 Air Bags)</t>
  </si>
  <si>
    <t xml:space="preserve">TAPTF2</t>
  </si>
  <si>
    <t xml:space="preserve">https://trimionafrica.co.za/p/m135</t>
  </si>
  <si>
    <t xml:space="preserve">3-in-1 Far Infrared, EMS and Pressotherapy System</t>
  </si>
  <si>
    <t xml:space="preserve">TAPT3E</t>
  </si>
  <si>
    <t xml:space="preserve">https://trimionafrica.co.za/p/m136</t>
  </si>
  <si>
    <t xml:space="preserve">3-in-1 Pressotherapy, EMS and Far Infrared Machine</t>
  </si>
  <si>
    <t xml:space="preserve">TAPT3P</t>
  </si>
  <si>
    <t xml:space="preserve">https://trimionafrica.co.za/p/m137</t>
  </si>
  <si>
    <t xml:space="preserve">2-in-1 Far Infrared Pressotherapy Machine</t>
  </si>
  <si>
    <t xml:space="preserve">TAPT2F</t>
  </si>
  <si>
    <t xml:space="preserve">https://trimionafrica.co.za/p/m138</t>
  </si>
  <si>
    <t xml:space="preserve">16-Air-Bag Pressotherapy Machine</t>
  </si>
  <si>
    <t xml:space="preserve">TAPT16</t>
  </si>
  <si>
    <t xml:space="preserve">https://trimionafrica.co.za/p/m139</t>
  </si>
  <si>
    <t xml:space="preserve">24-Air-Bag Pressotherapy Machine with Eye Massage</t>
  </si>
  <si>
    <t xml:space="preserve">TAPT24</t>
  </si>
  <si>
    <t xml:space="preserve">https://trimionafrica.co.za/p/m140</t>
  </si>
  <si>
    <t xml:space="preserve">24-Air-Bag Pressotherapy Suit (Top + Pants)</t>
  </si>
  <si>
    <t xml:space="preserve">TAPT24S</t>
  </si>
  <si>
    <t xml:space="preserve">https://trimionafrica.co.za/p/m141</t>
  </si>
  <si>
    <t xml:space="preserve">24-Air-Bag Pressotherapy Suit with Boots</t>
  </si>
  <si>
    <t xml:space="preserve">TAPT24B</t>
  </si>
  <si>
    <t xml:space="preserve">https://trimionafrica.co.za/p/m142</t>
  </si>
  <si>
    <t xml:space="preserve">RF and Cavitation Conductive Gel 300ml</t>
  </si>
  <si>
    <t xml:space="preserve">TAGEL300</t>
  </si>
  <si>
    <t xml:space="preserve">Consumables</t>
  </si>
  <si>
    <t xml:space="preserve">Made-in-China conductive / ultrasound gel US$0.30-6 per bottle</t>
  </si>
  <si>
    <t xml:space="preserve">https://trimionafrica.co.za/p/m160</t>
  </si>
  <si>
    <t xml:space="preserve">Water Dermabrasion Facial Solutions (3 Types)</t>
  </si>
  <si>
    <t xml:space="preserve">TAWDSOL3</t>
  </si>
  <si>
    <t xml:space="preserve">Low</t>
  </si>
  <si>
    <t xml:space="preserve">Made-in-China aqua peel solution sets (AS1/SA2/AO3) US$8-9 per set</t>
  </si>
  <si>
    <t xml:space="preserve">https://trimionafrica.co.za/p/m161</t>
  </si>
  <si>
    <t xml:space="preserve">Water Dermabrasion Solution Set A-B-C-D</t>
  </si>
  <si>
    <t xml:space="preserve">TAWDSOL4</t>
  </si>
  <si>
    <t xml:space="preserve">Made-in-China aqua peel solution sets US$6-9; 4-bottle set</t>
  </si>
  <si>
    <t xml:space="preserve">https://trimionafrica.co.za/p/m162</t>
  </si>
  <si>
    <t xml:space="preserve">CO2 Bubble Facial Gel Kit</t>
  </si>
  <si>
    <t xml:space="preserve">TACBGEL</t>
  </si>
  <si>
    <t xml:space="preserve">CO2 bubble gel kits; few listings show prices</t>
  </si>
  <si>
    <t xml:space="preserve">https://trimionafrica.co.za/p/m163</t>
  </si>
  <si>
    <t xml:space="preserve">Cryo Membranes (Pack of 100)</t>
  </si>
  <si>
    <t xml:space="preserve">TACRYOM</t>
  </si>
  <si>
    <t xml:space="preserve">Made-in-China cryo membranes US$0.60-1.10 each; pack of 100</t>
  </si>
  <si>
    <t xml:space="preserve">https://trimionafrica.co.za/p/m164</t>
  </si>
  <si>
    <t xml:space="preserve">4-Handle 360° Cryo Body Contouring Station</t>
  </si>
  <si>
    <t xml:space="preserve">TACRYO360-4</t>
  </si>
  <si>
    <t xml:space="preserve">Cryo body contouring</t>
  </si>
  <si>
    <t xml:space="preserve">Made-in-China cryo listings: 360 4-handle US$2,130-5,000, 360 with chin handle US$1,330-1,600; your cryo station R17,450 as anchor</t>
  </si>
  <si>
    <t xml:space="preserve">https://trimionafrica.co.za/p/m34</t>
  </si>
  <si>
    <t xml:space="preserve">2-Handle 360° Cryo Body Contouring Machine</t>
  </si>
  <si>
    <t xml:space="preserve">TACRYO360-2</t>
  </si>
  <si>
    <t xml:space="preserve">https://trimionafrica.co.za/p/m35</t>
  </si>
  <si>
    <t xml:space="preserve">Cryo + Electromagnetic Combination Station</t>
  </si>
  <si>
    <t xml:space="preserve">TAEMCRYO</t>
  </si>
  <si>
    <t xml:space="preserve">Cryo + EM combo; Made-in-China cryo listings: 360 4-handle US$2,130-5,000, 360 with chin handle US$1,330-1,600; your cryo station R17,450 as anchor</t>
  </si>
  <si>
    <t xml:space="preserve">https://trimionafrica.co.za/p/m36</t>
  </si>
  <si>
    <t xml:space="preserve">2-Handle Cryo Body Contouring Station</t>
  </si>
  <si>
    <t xml:space="preserve">TACRYO503</t>
  </si>
  <si>
    <t xml:space="preserve">High</t>
  </si>
  <si>
    <t xml:space="preserve">https://trimionafrica.co.za/p/m37</t>
  </si>
  <si>
    <t xml:space="preserve">4-Handle Cryo Body Contouring Station</t>
  </si>
  <si>
    <t xml:space="preserve">TACRYO601</t>
  </si>
  <si>
    <t xml:space="preserve">https://trimionafrica.co.za/p/m38</t>
  </si>
  <si>
    <t xml:space="preserve">2-Handle Tall Cryo Body Contouring Station</t>
  </si>
  <si>
    <t xml:space="preserve">TACRYO2T</t>
  </si>
  <si>
    <t xml:space="preserve">https://trimionafrica.co.za/p/m39</t>
  </si>
  <si>
    <t xml:space="preserve">Portable Cryo Body Contouring Machine</t>
  </si>
  <si>
    <t xml:space="preserve">TACRYOP</t>
  </si>
  <si>
    <t xml:space="preserve">https://trimionafrica.co.za/p/m40</t>
  </si>
  <si>
    <t xml:space="preserve">Portable 360 Cryo Body Contouring Machine (3 Handles)</t>
  </si>
  <si>
    <t xml:space="preserve">TACRYOP3</t>
  </si>
  <si>
    <t xml:space="preserve">https://trimionafrica.co.za/p/m100</t>
  </si>
  <si>
    <t xml:space="preserve">Cryo + Electromagnetic Body Sculpting Station</t>
  </si>
  <si>
    <t xml:space="preserve">TACRYOEM</t>
  </si>
  <si>
    <t xml:space="preserve">EMS and electromagnetic</t>
  </si>
  <si>
    <t xml:space="preserve">https://trimionafrica.co.za/p/m7</t>
  </si>
  <si>
    <t xml:space="preserve">4-Applicator Electromagnetic Body Sculpting Machine</t>
  </si>
  <si>
    <t xml:space="preserve">TAEM4</t>
  </si>
  <si>
    <t xml:space="preserve">Made-in-China EM sculpting (Hiemt/Emslim) listings US$1,150-5,800; your 2-handle R20,950 and 4-handle R43,000 as anchors</t>
  </si>
  <si>
    <t xml:space="preserve">https://trimionafrica.co.za/p/m8</t>
  </si>
  <si>
    <t xml:space="preserve">4-Handle Electromagnetic Body Sculpting Station (Grey)</t>
  </si>
  <si>
    <t xml:space="preserve">TAEM4G</t>
  </si>
  <si>
    <t xml:space="preserve">https://trimionafrica.co.za/p/m9</t>
  </si>
  <si>
    <t xml:space="preserve">4-Handle Electromagnetic Station with Seat Pad (Grey)</t>
  </si>
  <si>
    <t xml:space="preserve">TAEM5G</t>
  </si>
  <si>
    <t xml:space="preserve">Made-in-China EM sculpting (Hiemt/Emslim) listings US$1,150-5,800; your 2-handle R20,950 and 4-handle R43,000 as anchors; seat pad adds ~US$250</t>
  </si>
  <si>
    <t xml:space="preserve">https://trimionafrica.co.za/p/m10</t>
  </si>
  <si>
    <t xml:space="preserve">4-Handle Electromagnetic Body Sculpting Station (Black)</t>
  </si>
  <si>
    <t xml:space="preserve">TAEM4B</t>
  </si>
  <si>
    <t xml:space="preserve">https://trimionafrica.co.za/p/m11</t>
  </si>
  <si>
    <t xml:space="preserve">4-Handle Electromagnetic Station with Seat Pad (Black)</t>
  </si>
  <si>
    <t xml:space="preserve">TAEM5B</t>
  </si>
  <si>
    <t xml:space="preserve">https://trimionafrica.co.za/p/m12</t>
  </si>
  <si>
    <t xml:space="preserve">Compact 4-Handle Electromagnetic Machine</t>
  </si>
  <si>
    <t xml:space="preserve">TAEM4C</t>
  </si>
  <si>
    <t xml:space="preserve">https://trimionafrica.co.za/p/m13</t>
  </si>
  <si>
    <t xml:space="preserve">Compact 2-Handle Electromagnetic Machine</t>
  </si>
  <si>
    <t xml:space="preserve">TAEM2C</t>
  </si>
  <si>
    <t xml:space="preserve">https://trimionafrica.co.za/p/m14</t>
  </si>
  <si>
    <t xml:space="preserve">4-Handle Electromagnetic Body Sculpting Machine (White)</t>
  </si>
  <si>
    <t xml:space="preserve">TAEM4W</t>
  </si>
  <si>
    <t xml:space="preserve">https://trimionafrica.co.za/p/m15</t>
  </si>
  <si>
    <t xml:space="preserve">2-Handle Electromagnetic Body Sculpting Machine (White)</t>
  </si>
  <si>
    <t xml:space="preserve">TAEM2W</t>
  </si>
  <si>
    <t xml:space="preserve">https://trimionafrica.co.za/p/m16</t>
  </si>
  <si>
    <t xml:space="preserve">2-Handle Vertical Electromagnetic Sculpting Station</t>
  </si>
  <si>
    <t xml:space="preserve">TAEM2V</t>
  </si>
  <si>
    <t xml:space="preserve">https://trimionafrica.co.za/p/m18</t>
  </si>
  <si>
    <t xml:space="preserve">4-Handle Tower Electromagnetic Sculpting Station</t>
  </si>
  <si>
    <t xml:space="preserve">TAEM4T</t>
  </si>
  <si>
    <t xml:space="preserve">https://trimionafrica.co.za/p/m19</t>
  </si>
  <si>
    <t xml:space="preserve">4-Handle Slim Electromagnetic Sculpting Station</t>
  </si>
  <si>
    <t xml:space="preserve">TAEMK</t>
  </si>
  <si>
    <t xml:space="preserve">https://trimionafrica.co.za/p/m20</t>
  </si>
  <si>
    <t xml:space="preserve">4-Handle Desktop Electromagnetic Sculpting Machine</t>
  </si>
  <si>
    <t xml:space="preserve">TAEM4D</t>
  </si>
  <si>
    <t xml:space="preserve">https://trimionafrica.co.za/p/m21</t>
  </si>
  <si>
    <t xml:space="preserve">2-Handle Desktop Electromagnetic Sculpting Machine</t>
  </si>
  <si>
    <t xml:space="preserve">TAEM2D</t>
  </si>
  <si>
    <t xml:space="preserve">https://trimionafrica.co.za/p/m22</t>
  </si>
  <si>
    <t xml:space="preserve">4-Handle Large-Screen Electromagnetic Sculpting Machine</t>
  </si>
  <si>
    <t xml:space="preserve">TAEM4P</t>
  </si>
  <si>
    <t xml:space="preserve">https://trimionafrica.co.za/p/m23</t>
  </si>
  <si>
    <t xml:space="preserve">2-Handle Low-Profile Electromagnetic Sculpting Machine</t>
  </si>
  <si>
    <t xml:space="preserve">TAEM2L</t>
  </si>
  <si>
    <t xml:space="preserve">https://trimionafrica.co.za/p/m24</t>
  </si>
  <si>
    <t xml:space="preserve">4-Handle Cabinet Electromagnetic Sculpting Station</t>
  </si>
  <si>
    <t xml:space="preserve">TAEMB</t>
  </si>
  <si>
    <t xml:space="preserve">https://trimionafrica.co.za/p/m25</t>
  </si>
  <si>
    <t xml:space="preserve">Electromagnetic Sculpting Station with 18.5-inch Screen</t>
  </si>
  <si>
    <t xml:space="preserve">TAEMX</t>
  </si>
  <si>
    <t xml:space="preserve">Made-in-China EM sculpting (Hiemt/Emslim) listings US$1,150-5,800; your 2-handle R20,950 and 4-handle R43,000 as anchors; priced as 4-handle</t>
  </si>
  <si>
    <t xml:space="preserve">https://trimionafrica.co.za/p/m26</t>
  </si>
  <si>
    <t xml:space="preserve">2-Handle Water-Cooled Electromagnetic Station</t>
  </si>
  <si>
    <t xml:space="preserve">TAEM2WC</t>
  </si>
  <si>
    <t xml:space="preserve">Made-in-China EM sculpting (Hiemt/Emslim) listings US$1,150-5,800; your 2-handle R20,950 and 4-handle R43,000 as anchors; water cooling</t>
  </si>
  <si>
    <t xml:space="preserve">https://trimionafrica.co.za/p/m27</t>
  </si>
  <si>
    <t xml:space="preserve">2-Handle Portable Water-Cooled Electromagnetic Machine</t>
  </si>
  <si>
    <t xml:space="preserve">TAEM2WP</t>
  </si>
  <si>
    <t xml:space="preserve">https://trimionafrica.co.za/p/m28</t>
  </si>
  <si>
    <t xml:space="preserve">4-Applicator Electromagnetic Body Station 5000W</t>
  </si>
  <si>
    <t xml:space="preserve">TAEM4S</t>
  </si>
  <si>
    <t xml:space="preserve">https://trimionafrica.co.za/p/m29</t>
  </si>
  <si>
    <t xml:space="preserve">6-Handle Electromagnetic Body Sculpting Station (White)</t>
  </si>
  <si>
    <t xml:space="preserve">TAEM6W</t>
  </si>
  <si>
    <t xml:space="preserve">Made-in-China EM sculpting (Hiemt/Emslim) listings US$1,150-5,800; your 2-handle R20,950 and 4-handle R43,000 as anchors; 6 handles</t>
  </si>
  <si>
    <t xml:space="preserve">https://trimionafrica.co.za/p/m30</t>
  </si>
  <si>
    <t xml:space="preserve">4-Handle Electromagnetic Body Station (Black &amp; Silver)</t>
  </si>
  <si>
    <t xml:space="preserve">TAEM4K</t>
  </si>
  <si>
    <t xml:space="preserve">https://trimionafrica.co.za/p/m71</t>
  </si>
  <si>
    <t xml:space="preserve">1-Handle Compact Electromagnetic Body Sculpting Machine</t>
  </si>
  <si>
    <t xml:space="preserve">TAEMC1</t>
  </si>
  <si>
    <t xml:space="preserve">https://trimionafrica.co.za/p/m72</t>
  </si>
  <si>
    <t xml:space="preserve">2-Handle Portable Electromagnetic Body Sculpting Machine</t>
  </si>
  <si>
    <t xml:space="preserve">TAEMC2</t>
  </si>
  <si>
    <t xml:space="preserve">https://trimionafrica.co.za/p/m73</t>
  </si>
  <si>
    <t xml:space="preserve">2-Handle Portable Electromagnetic + RF Body Sculpting Machine</t>
  </si>
  <si>
    <t xml:space="preserve">TAEMC2R</t>
  </si>
  <si>
    <t xml:space="preserve">Made-in-China EM sculpting (Hiemt/Emslim) listings US$1,150-5,800; your 2-handle R20,950 and 4-handle R43,000 as anchors; +RF</t>
  </si>
  <si>
    <t xml:space="preserve">https://trimionafrica.co.za/p/m74</t>
  </si>
  <si>
    <t xml:space="preserve">2-Handle Compact Electromagnetic Body Sculpting Machine</t>
  </si>
  <si>
    <t xml:space="preserve">TAEMC2B</t>
  </si>
  <si>
    <t xml:space="preserve">https://trimionafrica.co.za/p/m75</t>
  </si>
  <si>
    <t xml:space="preserve">2-Handle Compact Electromagnetic + RF Body Sculpting Machine</t>
  </si>
  <si>
    <t xml:space="preserve">TAEMC2BR</t>
  </si>
  <si>
    <t xml:space="preserve">https://trimionafrica.co.za/p/m76</t>
  </si>
  <si>
    <t xml:space="preserve">4-Handle Portable Electromagnetic Body Sculpting Machine</t>
  </si>
  <si>
    <t xml:space="preserve">TAEMC4</t>
  </si>
  <si>
    <t xml:space="preserve">https://trimionafrica.co.za/p/m77</t>
  </si>
  <si>
    <t xml:space="preserve">4-Handle Portable Electromagnetic + RF Body Sculpting Machine</t>
  </si>
  <si>
    <t xml:space="preserve">TAEMC4R</t>
  </si>
  <si>
    <t xml:space="preserve">https://trimionafrica.co.za/p/m78</t>
  </si>
  <si>
    <t xml:space="preserve">2-Handle Vertical Electromagnetic Body Sculpting Station</t>
  </si>
  <si>
    <t xml:space="preserve">TAEMC2L</t>
  </si>
  <si>
    <t xml:space="preserve">https://trimionafrica.co.za/p/m79</t>
  </si>
  <si>
    <t xml:space="preserve">4-Handle Vertical Electromagnetic Body Sculpting Station</t>
  </si>
  <si>
    <t xml:space="preserve">TAEMC4L</t>
  </si>
  <si>
    <t xml:space="preserve">https://trimionafrica.co.za/p/m80</t>
  </si>
  <si>
    <t xml:space="preserve">4-Handle Vertical Electromagnetic + RF Body Sculpting Station</t>
  </si>
  <si>
    <t xml:space="preserve">TAEMC4LR</t>
  </si>
  <si>
    <t xml:space="preserve">https://trimionafrica.co.za/p/m81</t>
  </si>
  <si>
    <t xml:space="preserve">Mini Electromagnetic Body Sculpting Machine</t>
  </si>
  <si>
    <t xml:space="preserve">TAEMM1</t>
  </si>
  <si>
    <t xml:space="preserve">https://trimionafrica.co.za/p/m82</t>
  </si>
  <si>
    <t xml:space="preserve">Mini Electromagnetic + RF Body Sculpting Machine</t>
  </si>
  <si>
    <t xml:space="preserve">TAEMM1R</t>
  </si>
  <si>
    <t xml:space="preserve">https://trimionafrica.co.za/p/m83</t>
  </si>
  <si>
    <t xml:space="preserve">2-Handle Electromagnetic Body Sculpting Machine 2800W</t>
  </si>
  <si>
    <t xml:space="preserve">TAEMP2</t>
  </si>
  <si>
    <t xml:space="preserve">https://trimionafrica.co.za/p/m84</t>
  </si>
  <si>
    <t xml:space="preserve">2-Handle Electromagnetic + RF Body Sculpting Machine 2800W</t>
  </si>
  <si>
    <t xml:space="preserve">TAEMP2R</t>
  </si>
  <si>
    <t xml:space="preserve">https://trimionafrica.co.za/p/m85</t>
  </si>
  <si>
    <t xml:space="preserve">4-Handle Electromagnetic Body Sculpting Machine 13 Tesla</t>
  </si>
  <si>
    <t xml:space="preserve">TAEMP4</t>
  </si>
  <si>
    <t xml:space="preserve">https://trimionafrica.co.za/p/m86</t>
  </si>
  <si>
    <t xml:space="preserve">4-Handle Electromagnetic + RF Body Sculpting Machine 13 Tesla</t>
  </si>
  <si>
    <t xml:space="preserve">TAEMP4R</t>
  </si>
  <si>
    <t xml:space="preserve">https://trimionafrica.co.za/p/m87</t>
  </si>
  <si>
    <t xml:space="preserve">2-Handle Vertical Electromagnetic + RF Station 13 Tesla</t>
  </si>
  <si>
    <t xml:space="preserve">TAEMV2R</t>
  </si>
  <si>
    <t xml:space="preserve">https://trimionafrica.co.za/p/m88</t>
  </si>
  <si>
    <t xml:space="preserve">4-Handle Vertical Electromagnetic + RF Station 13 Tesla</t>
  </si>
  <si>
    <t xml:space="preserve">TAEMV4R</t>
  </si>
  <si>
    <t xml:space="preserve">https://trimionafrica.co.za/p/m89</t>
  </si>
  <si>
    <t xml:space="preserve">4-Handle Tall Electromagnetic Body Sculpting Station 13 Tesla</t>
  </si>
  <si>
    <t xml:space="preserve">TAEMV4</t>
  </si>
  <si>
    <t xml:space="preserve">https://trimionafrica.co.za/p/m90</t>
  </si>
  <si>
    <t xml:space="preserve">4-Handle Tall Electromagnetic + RF Station 13 Tesla</t>
  </si>
  <si>
    <t xml:space="preserve">TAEMV4TR</t>
  </si>
  <si>
    <t xml:space="preserve">https://trimionafrica.co.za/p/m91</t>
  </si>
  <si>
    <t xml:space="preserve">2-Handle Pro Electromagnetic Body Sculpting Machine</t>
  </si>
  <si>
    <t xml:space="preserve">TAEMX2</t>
  </si>
  <si>
    <t xml:space="preserve">https://trimionafrica.co.za/p/m92</t>
  </si>
  <si>
    <t xml:space="preserve">4-Handle Pro Electromagnetic Body Sculpting Machine</t>
  </si>
  <si>
    <t xml:space="preserve">TAEMX4</t>
  </si>
  <si>
    <t xml:space="preserve">https://trimionafrica.co.za/p/m93</t>
  </si>
  <si>
    <t xml:space="preserve">4-Handle Pro Electromagnetic + EMS Body Sculpting Machine</t>
  </si>
  <si>
    <t xml:space="preserve">TAEMX4E</t>
  </si>
  <si>
    <t xml:space="preserve">Made-in-China EM sculpting (Hiemt/Emslim) listings US$1,150-5,800; your 2-handle R20,950 and 4-handle R43,000 as anchors; +EMS</t>
  </si>
  <si>
    <t xml:space="preserve">https://trimionafrica.co.za/p/m94</t>
  </si>
  <si>
    <t xml:space="preserve">2-Handle Pro Vertical Electromagnetic Station</t>
  </si>
  <si>
    <t xml:space="preserve">TAEMX2V</t>
  </si>
  <si>
    <t xml:space="preserve">https://trimionafrica.co.za/p/m95</t>
  </si>
  <si>
    <t xml:space="preserve">4-Handle Pro Vertical Electromagnetic Station</t>
  </si>
  <si>
    <t xml:space="preserve">TAEMX4V</t>
  </si>
  <si>
    <t xml:space="preserve">https://trimionafrica.co.za/p/m96</t>
  </si>
  <si>
    <t xml:space="preserve">4-Handle Pro Vertical Electromagnetic + EMS Station</t>
  </si>
  <si>
    <t xml:space="preserve">TAEMX4EV</t>
  </si>
  <si>
    <t xml:space="preserve">https://trimionafrica.co.za/p/m97</t>
  </si>
  <si>
    <t xml:space="preserve">4-Handle Elite Vertical Electromagnetic + EMS Station</t>
  </si>
  <si>
    <t xml:space="preserve">TAEMX5EV</t>
  </si>
  <si>
    <t xml:space="preserve">https://trimionafrica.co.za/p/m98</t>
  </si>
  <si>
    <t xml:space="preserve">2-Handle Electromagnetic Muscle Toning Station</t>
  </si>
  <si>
    <t xml:space="preserve">TAEMT2</t>
  </si>
  <si>
    <t xml:space="preserve">https://trimionafrica.co.za/p/m99</t>
  </si>
  <si>
    <t xml:space="preserve">Ion &amp; Microcurrent Skin Platform</t>
  </si>
  <si>
    <t xml:space="preserve">TAION</t>
  </si>
  <si>
    <t xml:space="preserve">Facial and skin</t>
  </si>
  <si>
    <t xml:space="preserve">Ion + microcurrent floor platform; few comparable listings</t>
  </si>
  <si>
    <t xml:space="preserve">https://trimionafrica.co.za/p/m59</t>
  </si>
  <si>
    <t xml:space="preserve">10-in-1 Water Dermabrasion Facial Station</t>
  </si>
  <si>
    <t xml:space="preserve">TAHF10</t>
  </si>
  <si>
    <t xml:space="preserve">Made-in-China hydra/oxygen facial listings US$389-4,000; your 8-in-1 dermabrasion R49,950 as anchor</t>
  </si>
  <si>
    <t xml:space="preserve">https://trimionafrica.co.za/p/m60</t>
  </si>
  <si>
    <t xml:space="preserve">10-in-1 Water Dermabrasion Facial Station with Serum Bottles</t>
  </si>
  <si>
    <t xml:space="preserve">TAHF10S</t>
  </si>
  <si>
    <t xml:space="preserve">https://trimionafrica.co.za/p/m61</t>
  </si>
  <si>
    <t xml:space="preserve">Water Dermabrasion Facial Station with 4 Serum Bottles</t>
  </si>
  <si>
    <t xml:space="preserve">TAHFV1</t>
  </si>
  <si>
    <t xml:space="preserve">https://trimionafrica.co.za/p/m62</t>
  </si>
  <si>
    <t xml:space="preserve">6-in-1 Oxygen Dermabrasion Facial Station</t>
  </si>
  <si>
    <t xml:space="preserve">TAHF6</t>
  </si>
  <si>
    <t xml:space="preserve">https://trimionafrica.co.za/p/m63</t>
  </si>
  <si>
    <t xml:space="preserve">Oxygen Facial Station</t>
  </si>
  <si>
    <t xml:space="preserve">TAOX4</t>
  </si>
  <si>
    <t xml:space="preserve">https://trimionafrica.co.za/p/m64</t>
  </si>
  <si>
    <t xml:space="preserve">Compact Oxygen Facial Unit on Stand</t>
  </si>
  <si>
    <t xml:space="preserve">TAOX2</t>
  </si>
  <si>
    <t xml:space="preserve">https://trimionafrica.co.za/p/m65</t>
  </si>
  <si>
    <t xml:space="preserve">Electromagnetic + RF Facial Patch System</t>
  </si>
  <si>
    <t xml:space="preserve">TAEMRF6</t>
  </si>
  <si>
    <t xml:space="preserve">EM + RF face patches (EMface type); Made-in-China EMS RF face US$2,099-2,299</t>
  </si>
  <si>
    <t xml:space="preserve">https://trimionafrica.co.za/p/m66</t>
  </si>
  <si>
    <t xml:space="preserve">Hot and Cold Facial Spray Machine</t>
  </si>
  <si>
    <t xml:space="preserve">TAFS2</t>
  </si>
  <si>
    <t xml:space="preserve">Made-in-China small facial machines (CO2 bubble US$190-630, hydra 6-10 in 1 US$120-950, steamers US$24-52)</t>
  </si>
  <si>
    <t xml:space="preserve">https://trimionafrica.co.za/p/m143</t>
  </si>
  <si>
    <t xml:space="preserve">Cool and Warm Facial Machine</t>
  </si>
  <si>
    <t xml:space="preserve">TAFC1</t>
  </si>
  <si>
    <t xml:space="preserve">https://trimionafrica.co.za/p/m144</t>
  </si>
  <si>
    <t xml:space="preserve">2-in-1 CO2 Bubble Facial Machine</t>
  </si>
  <si>
    <t xml:space="preserve">TACB2</t>
  </si>
  <si>
    <t xml:space="preserve">https://trimionafrica.co.za/p/m145</t>
  </si>
  <si>
    <t xml:space="preserve">3-in-1 CO2 Bubble Facial Machine</t>
  </si>
  <si>
    <t xml:space="preserve">TACB3</t>
  </si>
  <si>
    <t xml:space="preserve">https://trimionafrica.co.za/p/m146</t>
  </si>
  <si>
    <t xml:space="preserve">3-in-1 CO2 Bubble Facial Machine II</t>
  </si>
  <si>
    <t xml:space="preserve">TACB3B</t>
  </si>
  <si>
    <t xml:space="preserve">https://trimionafrica.co.za/p/m147</t>
  </si>
  <si>
    <t xml:space="preserve">5-in-1 Water Dermabrasion Facial Machine</t>
  </si>
  <si>
    <t xml:space="preserve">TAWD5</t>
  </si>
  <si>
    <t xml:space="preserve">https://trimionafrica.co.za/p/m148</t>
  </si>
  <si>
    <t xml:space="preserve">6-in-1 Water Dermabrasion Facial Machine</t>
  </si>
  <si>
    <t xml:space="preserve">TAWD6</t>
  </si>
  <si>
    <t xml:space="preserve">https://trimionafrica.co.za/p/m149</t>
  </si>
  <si>
    <t xml:space="preserve">6-in-1 Hydrogen Water Facial Machine</t>
  </si>
  <si>
    <t xml:space="preserve">TAWDH6</t>
  </si>
  <si>
    <t xml:space="preserve">https://trimionafrica.co.za/p/m150</t>
  </si>
  <si>
    <t xml:space="preserve">6-in-1 Hydrogen Water Facial Machine II</t>
  </si>
  <si>
    <t xml:space="preserve">TAWDH6B</t>
  </si>
  <si>
    <t xml:space="preserve">https://trimionafrica.co.za/p/m151</t>
  </si>
  <si>
    <t xml:space="preserve">7-in-1 Cool Water Facial Machine</t>
  </si>
  <si>
    <t xml:space="preserve">TAWD7C</t>
  </si>
  <si>
    <t xml:space="preserve">https://trimionafrica.co.za/p/m152</t>
  </si>
  <si>
    <t xml:space="preserve">8-in-1 Water Dermabrasion Facial Station</t>
  </si>
  <si>
    <t xml:space="preserve">TAWD8S</t>
  </si>
  <si>
    <t xml:space="preserve">https://trimionafrica.co.za/p/m153</t>
  </si>
  <si>
    <t xml:space="preserve">TAWD10S</t>
  </si>
  <si>
    <t xml:space="preserve">https://trimionafrica.co.za/p/m154</t>
  </si>
  <si>
    <t xml:space="preserve">7-in-1 Bubble Facial Station</t>
  </si>
  <si>
    <t xml:space="preserve">TAWD7B</t>
  </si>
  <si>
    <t xml:space="preserve">https://trimionafrica.co.za/p/m155</t>
  </si>
  <si>
    <t xml:space="preserve">8-in-1 Bubble Facial Station</t>
  </si>
  <si>
    <t xml:space="preserve">TAWD8B</t>
  </si>
  <si>
    <t xml:space="preserve">https://trimionafrica.co.za/p/m156</t>
  </si>
  <si>
    <t xml:space="preserve">6-in-1 Bubble Facial Station</t>
  </si>
  <si>
    <t xml:space="preserve">TAWD6B</t>
  </si>
  <si>
    <t xml:space="preserve">https://trimionafrica.co.za/p/m157</t>
  </si>
  <si>
    <t xml:space="preserve">7-in-1 Hot and Cold Water Facial Machine</t>
  </si>
  <si>
    <t xml:space="preserve">TAWD7H</t>
  </si>
  <si>
    <t xml:space="preserve">https://trimionafrica.co.za/p/m158</t>
  </si>
  <si>
    <t xml:space="preserve">Portable HIFU Face and Body Machine</t>
  </si>
  <si>
    <t xml:space="preserve">TAUS1</t>
  </si>
  <si>
    <t xml:space="preserve">HIFU skin tightening</t>
  </si>
  <si>
    <t xml:space="preserve">Made-in-China HIFU listings: 4D US$975-1,200, 7D/9D US$1,350-2,350, portable 9D US$1,367-1,563</t>
  </si>
  <si>
    <t xml:space="preserve">https://trimionafrica.co.za/p/m123</t>
  </si>
  <si>
    <t xml:space="preserve">HIFU Face and Body Machine with Trolley</t>
  </si>
  <si>
    <t xml:space="preserve">TAUS2</t>
  </si>
  <si>
    <t xml:space="preserve">https://trimionafrica.co.za/p/m124</t>
  </si>
  <si>
    <t xml:space="preserve">HIFU Face Lifting Machine</t>
  </si>
  <si>
    <t xml:space="preserve">TAUS3</t>
  </si>
  <si>
    <t xml:space="preserve">https://trimionafrica.co.za/p/m125</t>
  </si>
  <si>
    <t xml:space="preserve">Portable HIFU Skin Tightening Machine</t>
  </si>
  <si>
    <t xml:space="preserve">TAUS5</t>
  </si>
  <si>
    <t xml:space="preserve">https://trimionafrica.co.za/p/m126</t>
  </si>
  <si>
    <t xml:space="preserve">Radar Line HIFU Machine</t>
  </si>
  <si>
    <t xml:space="preserve">TAUSR</t>
  </si>
  <si>
    <t xml:space="preserve">https://trimionafrica.co.za/p/m127</t>
  </si>
  <si>
    <t xml:space="preserve">4D HIFU Machine</t>
  </si>
  <si>
    <t xml:space="preserve">TAUS4D</t>
  </si>
  <si>
    <t xml:space="preserve">https://trimionafrica.co.za/p/m128</t>
  </si>
  <si>
    <t xml:space="preserve">4D HIFU Station</t>
  </si>
  <si>
    <t xml:space="preserve">TAUS4DS</t>
  </si>
  <si>
    <t xml:space="preserve">https://trimionafrica.co.za/p/m129</t>
  </si>
  <si>
    <t xml:space="preserve">9D HIFU Machine</t>
  </si>
  <si>
    <t xml:space="preserve">TAUS9D</t>
  </si>
  <si>
    <t xml:space="preserve">https://trimionafrica.co.za/p/m130</t>
  </si>
  <si>
    <t xml:space="preserve">7D HIFU Station</t>
  </si>
  <si>
    <t xml:space="preserve">TAUS7DS</t>
  </si>
  <si>
    <t xml:space="preserve">https://trimionafrica.co.za/p/m131</t>
  </si>
  <si>
    <t xml:space="preserve">Portable 7D HIFU Machine</t>
  </si>
  <si>
    <t xml:space="preserve">TAUS7D</t>
  </si>
  <si>
    <t xml:space="preserve">https://trimionafrica.co.za/p/m132</t>
  </si>
  <si>
    <t xml:space="preserve">Compact 7D HIFU Machine</t>
  </si>
  <si>
    <t xml:space="preserve">TAUS7DC</t>
  </si>
  <si>
    <t xml:space="preserve">https://trimionafrica.co.za/p/m133</t>
  </si>
  <si>
    <t xml:space="preserve">Vacuum, Roller &amp; RF Body and Face Platform</t>
  </si>
  <si>
    <t xml:space="preserve">TAVSP</t>
  </si>
  <si>
    <t xml:space="preserve">RF and cavitation</t>
  </si>
  <si>
    <t xml:space="preserve">Made-in-China vacuum roller listings US$1,100-4,200; your 360 roller R18,599 as anchor; multi-applicator platform</t>
  </si>
  <si>
    <t xml:space="preserve">https://trimionafrica.co.za/p/m44</t>
  </si>
  <si>
    <t xml:space="preserve">500W RF Body &amp; Face Workstation</t>
  </si>
  <si>
    <t xml:space="preserve">TARF500</t>
  </si>
  <si>
    <t xml:space="preserve">Made-in-China 448kHz / CET-RET (Tecar) listings US$350-3,300; your 448K RF R13,199 as anchor</t>
  </si>
  <si>
    <t xml:space="preserve">https://trimionafrica.co.za/p/m45</t>
  </si>
  <si>
    <t xml:space="preserve">448kHz CET/RET RF Body Machine</t>
  </si>
  <si>
    <t xml:space="preserve">TARF448CR</t>
  </si>
  <si>
    <t xml:space="preserve">https://trimionafrica.co.za/p/m46</t>
  </si>
  <si>
    <t xml:space="preserve">RF + EMS Face Sculpting Station</t>
  </si>
  <si>
    <t xml:space="preserve">TARFEMF</t>
  </si>
  <si>
    <t xml:space="preserve">Made-in-China EMS+RF face machines US$2,099-2,299</t>
  </si>
  <si>
    <t xml:space="preserve">https://trimionafrica.co.za/p/m47</t>
  </si>
  <si>
    <t xml:space="preserve">Multi-Handle Cavitation Body Contouring Station</t>
  </si>
  <si>
    <t xml:space="preserve">TACAVB3</t>
  </si>
  <si>
    <t xml:space="preserve">Made-in-China cavitation/RF listings US$120-4,500; your 4-in-1 cavitation R6,450 and 448K RF R13,199 as anchors</t>
  </si>
  <si>
    <t xml:space="preserve">https://trimionafrica.co.za/p/m48</t>
  </si>
  <si>
    <t xml:space="preserve">Portable Cavitation Body Contouring Machine</t>
  </si>
  <si>
    <t xml:space="preserve">TACAVB1</t>
  </si>
  <si>
    <t xml:space="preserve">https://trimionafrica.co.za/p/m49</t>
  </si>
  <si>
    <t xml:space="preserve">CET/RET RF Face and Body Machine</t>
  </si>
  <si>
    <t xml:space="preserve">TARFCR1</t>
  </si>
  <si>
    <t xml:space="preserve">https://trimionafrica.co.za/p/m101</t>
  </si>
  <si>
    <t xml:space="preserve">4-Handle Smart CET/RET RF Machine</t>
  </si>
  <si>
    <t xml:space="preserve">TARFCR4</t>
  </si>
  <si>
    <t xml:space="preserve">https://trimionafrica.co.za/p/m102</t>
  </si>
  <si>
    <t xml:space="preserve">Focused RF + Ultrasound Body and Face Machine</t>
  </si>
  <si>
    <t xml:space="preserve">TARFUS1</t>
  </si>
  <si>
    <t xml:space="preserve">https://trimionafrica.co.za/p/m103</t>
  </si>
  <si>
    <t xml:space="preserve">Focused RF + Ultrasound Body and Face Machine II</t>
  </si>
  <si>
    <t xml:space="preserve">TARFUS2</t>
  </si>
  <si>
    <t xml:space="preserve">https://trimionafrica.co.za/p/m104</t>
  </si>
  <si>
    <t xml:space="preserve">Focused RF + Ultrasound Body and Face Station</t>
  </si>
  <si>
    <t xml:space="preserve">TARFUS3</t>
  </si>
  <si>
    <t xml:space="preserve">https://trimionafrica.co.za/p/m105</t>
  </si>
  <si>
    <t xml:space="preserve">5D Vacuum Cavitation Body Contouring Machine (Blue)</t>
  </si>
  <si>
    <t xml:space="preserve">TACAV5DB</t>
  </si>
  <si>
    <t xml:space="preserve">https://trimionafrica.co.za/p/m106</t>
  </si>
  <si>
    <t xml:space="preserve">3-in-1 40K Cavitation and RF Machine</t>
  </si>
  <si>
    <t xml:space="preserve">TACAV3</t>
  </si>
  <si>
    <t xml:space="preserve">https://trimionafrica.co.za/p/m107</t>
  </si>
  <si>
    <t xml:space="preserve">5-in-1 RF Cavitation Body Contouring Machine</t>
  </si>
  <si>
    <t xml:space="preserve">TACAV5</t>
  </si>
  <si>
    <t xml:space="preserve">https://trimionafrica.co.za/p/m108</t>
  </si>
  <si>
    <t xml:space="preserve">7-in-1 80K and 40K Cavitation Station</t>
  </si>
  <si>
    <t xml:space="preserve">TACAV7</t>
  </si>
  <si>
    <t xml:space="preserve">https://trimionafrica.co.za/p/m109</t>
  </si>
  <si>
    <t xml:space="preserve">5D Vacuum Cavitation Station (Blue)</t>
  </si>
  <si>
    <t xml:space="preserve">TACAV5DS</t>
  </si>
  <si>
    <t xml:space="preserve">https://trimionafrica.co.za/p/m110</t>
  </si>
  <si>
    <t xml:space="preserve">5D Vacuum Cavitation Station (White)</t>
  </si>
  <si>
    <t xml:space="preserve">TACAV5DW</t>
  </si>
  <si>
    <t xml:space="preserve">https://trimionafrica.co.za/p/m111</t>
  </si>
  <si>
    <t xml:space="preserve">6-Handle RF Cavitation Vacuum Station</t>
  </si>
  <si>
    <t xml:space="preserve">TACAV6S</t>
  </si>
  <si>
    <t xml:space="preserve">https://trimionafrica.co.za/p/m112</t>
  </si>
  <si>
    <t xml:space="preserve">3D Vacuum Cavitation Station</t>
  </si>
  <si>
    <t xml:space="preserve">TACAV3D</t>
  </si>
  <si>
    <t xml:space="preserve">https://trimionafrica.co.za/p/m113</t>
  </si>
  <si>
    <t xml:space="preserve">4-Handle 80K Cavitation Vacuum Machine</t>
  </si>
  <si>
    <t xml:space="preserve">TACAV4V</t>
  </si>
  <si>
    <t xml:space="preserve">https://trimionafrica.co.za/p/m114</t>
  </si>
  <si>
    <t xml:space="preserve">5-Handle Vacuum RF Roller Body Station</t>
  </si>
  <si>
    <t xml:space="preserve">TARFV5</t>
  </si>
  <si>
    <t xml:space="preserve">https://trimionafrica.co.za/p/m115</t>
  </si>
  <si>
    <t xml:space="preserve">4-Handle Vacuum RF Roller Body Station</t>
  </si>
  <si>
    <t xml:space="preserve">TARFV4</t>
  </si>
  <si>
    <t xml:space="preserve">https://trimionafrica.co.za/p/m116</t>
  </si>
  <si>
    <t xml:space="preserve">5-Handle Vacuum RF Roller Station with Eye Head</t>
  </si>
  <si>
    <t xml:space="preserve">TARFV5E</t>
  </si>
  <si>
    <t xml:space="preserve">https://trimionafrica.co.za/p/m117</t>
  </si>
  <si>
    <t xml:space="preserve">Non-Contact RF Body Contouring Frame</t>
  </si>
  <si>
    <t xml:space="preserve">TARFNC</t>
  </si>
  <si>
    <t xml:space="preserve">Non-contact RF frame; Made-in-China RF body listings US$1,000-4,500</t>
  </si>
  <si>
    <t xml:space="preserve">https://trimionafrica.co.za/p/m118</t>
  </si>
  <si>
    <t xml:space="preserve">RF Skin Tightening Machine (Home and Studio)</t>
  </si>
  <si>
    <t xml:space="preserve">TARFSK1</t>
  </si>
  <si>
    <t xml:space="preserve">https://trimionafrica.co.za/p/m119</t>
  </si>
  <si>
    <t xml:space="preserve">Portable 3-Tip RF Skin Tightening Machine</t>
  </si>
  <si>
    <t xml:space="preserve">TARFSK3</t>
  </si>
  <si>
    <t xml:space="preserve">https://trimionafrica.co.za/p/m120</t>
  </si>
  <si>
    <t xml:space="preserve">3-Tip RF Skin Tightening Station with Cooling</t>
  </si>
  <si>
    <t xml:space="preserve">TARFSK3S</t>
  </si>
  <si>
    <t xml:space="preserve">https://trimionafrica.co.za/p/m121</t>
  </si>
  <si>
    <t xml:space="preserve">Cartridge RF Skin Tightening Station</t>
  </si>
  <si>
    <t xml:space="preserve">TARFSKC</t>
  </si>
  <si>
    <t xml:space="preserve">Made-in-China cartridge / fractional RF listings US$419-2,800</t>
  </si>
  <si>
    <t xml:space="preserve">https://trimionafrica.co.za/p/m122</t>
  </si>
  <si>
    <t xml:space="preserve">Body Composition Analyser with Printer</t>
  </si>
  <si>
    <t xml:space="preserve">TABA1</t>
  </si>
  <si>
    <t xml:space="preserve">Wellness and salon</t>
  </si>
  <si>
    <t xml:space="preserve">Made-in-China body composition analysers US$499-1,500 (with printer US$800-1,500)</t>
  </si>
  <si>
    <t xml:space="preserve">https://trimionafrica.co.za/p/m159</t>
  </si>
  <si>
    <t xml:space="preserve">Total if one of each sold</t>
  </si>
  <si>
    <t xml:space="preserve">Price on site now (R)</t>
  </si>
  <si>
    <t xml:space="preserve">Implied factory price at same formula (USD)</t>
  </si>
  <si>
    <t xml:space="preserve">5-Handle 2500W EMS Body Sculpting Machine</t>
  </si>
  <si>
    <t xml:space="preserve">TAEMS2500</t>
  </si>
  <si>
    <t xml:space="preserve">4-Handle 4300W EMS Body Sculpting Machine</t>
  </si>
  <si>
    <t xml:space="preserve">TAEMS4300</t>
  </si>
  <si>
    <t xml:space="preserve">4-Handle EMS Body Sculpting Machine</t>
  </si>
  <si>
    <t xml:space="preserve">TAEMS4</t>
  </si>
  <si>
    <t xml:space="preserve">5000W 2-Handle EMS Body Sculpting Machine</t>
  </si>
  <si>
    <t xml:space="preserve">TAEMS5000</t>
  </si>
  <si>
    <t xml:space="preserve">2-Handle EMS Body Sculpting Machine</t>
  </si>
  <si>
    <t xml:space="preserve">TAEMS2</t>
  </si>
  <si>
    <t xml:space="preserve">10-Channel EMS Body System</t>
  </si>
  <si>
    <t xml:space="preserve">TAEMS10CH01</t>
  </si>
  <si>
    <t xml:space="preserve">4-Handle Vertical Electromagnetic Sculpting Station</t>
  </si>
  <si>
    <t xml:space="preserve">TAEM4V</t>
  </si>
  <si>
    <t xml:space="preserve">5-Handle Hot, Cold &amp; EMS Machine</t>
  </si>
  <si>
    <t xml:space="preserve">TACRYO5</t>
  </si>
  <si>
    <t xml:space="preserve">Cryo Body Contouring Station</t>
  </si>
  <si>
    <t xml:space="preserve">TACRYO15</t>
  </si>
  <si>
    <t xml:space="preserve">3-Handle Cryo Body Contouring Machine</t>
  </si>
  <si>
    <t xml:space="preserve">TACRYO3</t>
  </si>
  <si>
    <t xml:space="preserve">448K RF Body Contouring Machine</t>
  </si>
  <si>
    <t xml:space="preserve">TARF448B</t>
  </si>
  <si>
    <t xml:space="preserve">448kHz Deep RF Body &amp; Face Machine</t>
  </si>
  <si>
    <t xml:space="preserve">TARF448</t>
  </si>
  <si>
    <t xml:space="preserve">4-in-1 Cavitation and RF Body Contouring Machine</t>
  </si>
  <si>
    <t xml:space="preserve">TACAV4</t>
  </si>
  <si>
    <t xml:space="preserve">360 Roller Body &amp; Face Massage Machine</t>
  </si>
  <si>
    <t xml:space="preserve">TARM360</t>
  </si>
  <si>
    <t xml:space="preserve">Vibration Body Massage System with Trolley</t>
  </si>
  <si>
    <t xml:space="preserve">TAVM5</t>
  </si>
  <si>
    <t xml:space="preserve">Vacuum Cupping Massage Machine</t>
  </si>
  <si>
    <t xml:space="preserve">TAVC150</t>
  </si>
  <si>
    <t xml:space="preserve">8-in-1 Water Dermabrasion Facial Machine</t>
  </si>
  <si>
    <t xml:space="preserve">TAHF8</t>
  </si>
  <si>
    <t xml:space="preserve">Zero Gravity Massage Chair</t>
  </si>
  <si>
    <t xml:space="preserve">TAMC850</t>
  </si>
  <si>
    <t xml:space="preserve">Foot &amp; Body Massage Station with Heat</t>
  </si>
  <si>
    <t xml:space="preserve">TAFS240</t>
  </si>
  <si>
    <t xml:space="preserve">Far Infrared Sauna Dome</t>
  </si>
  <si>
    <t xml:space="preserve">TASD1000</t>
  </si>
  <si>
    <t xml:space="preserve">Professional Standing Hood Salon Hair Dryer</t>
  </si>
  <si>
    <t xml:space="preserve">TASHD01</t>
  </si>
  <si>
    <t xml:space="preserve">These are your current prices, left unchanged. The last column shows they work out to factory-level costs, which is how the new estimates were calibrated.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</si>
</sst>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#,##0"/>
    <numFmt numFmtId="168" formatCode="\$#,##0"/>
    <numFmt numFmtId="169" formatCode="0%"/>
    <numFmt numFmtId="170" formatCode="\R#,##0"/>
    <numFmt numFmtId="171" formatCode="\$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B65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B7791F"/>
      <name val="Arial"/>
      <family val="0"/>
      <charset val="1"/>
    </font>
    <font>
      <u val="single"/>
      <sz val="11"/>
      <color theme="1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0B7A3E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81A3D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81A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B7A3E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C039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7A3E"/>
      <rgbColor rgb="FF000080"/>
      <rgbColor rgb="FFB7791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8"/>
      <rgbColor rgb="FF969696"/>
      <rgbColor rgb="FF081A3D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trimionafrica.co.za/p/m53" TargetMode="External"/><Relationship Id="rId2" Type="http://schemas.openxmlformats.org/officeDocument/2006/relationships/hyperlink" Target="https://trimionafrica.co.za/p/m54" TargetMode="External"/><Relationship Id="rId3" Type="http://schemas.openxmlformats.org/officeDocument/2006/relationships/hyperlink" Target="https://trimionafrica.co.za/p/m55" TargetMode="External"/><Relationship Id="rId4" Type="http://schemas.openxmlformats.org/officeDocument/2006/relationships/hyperlink" Target="https://trimionafrica.co.za/p/m56" TargetMode="External"/><Relationship Id="rId5" Type="http://schemas.openxmlformats.org/officeDocument/2006/relationships/hyperlink" Target="https://trimionafrica.co.za/p/m57" TargetMode="External"/><Relationship Id="rId6" Type="http://schemas.openxmlformats.org/officeDocument/2006/relationships/hyperlink" Target="https://trimionafrica.co.za/p/m134" TargetMode="External"/><Relationship Id="rId7" Type="http://schemas.openxmlformats.org/officeDocument/2006/relationships/hyperlink" Target="https://trimionafrica.co.za/p/m135" TargetMode="External"/><Relationship Id="rId8" Type="http://schemas.openxmlformats.org/officeDocument/2006/relationships/hyperlink" Target="https://trimionafrica.co.za/p/m136" TargetMode="External"/><Relationship Id="rId9" Type="http://schemas.openxmlformats.org/officeDocument/2006/relationships/hyperlink" Target="https://trimionafrica.co.za/p/m137" TargetMode="External"/><Relationship Id="rId10" Type="http://schemas.openxmlformats.org/officeDocument/2006/relationships/hyperlink" Target="https://trimionafrica.co.za/p/m138" TargetMode="External"/><Relationship Id="rId11" Type="http://schemas.openxmlformats.org/officeDocument/2006/relationships/hyperlink" Target="https://trimionafrica.co.za/p/m139" TargetMode="External"/><Relationship Id="rId12" Type="http://schemas.openxmlformats.org/officeDocument/2006/relationships/hyperlink" Target="https://trimionafrica.co.za/p/m140" TargetMode="External"/><Relationship Id="rId13" Type="http://schemas.openxmlformats.org/officeDocument/2006/relationships/hyperlink" Target="https://trimionafrica.co.za/p/m141" TargetMode="External"/><Relationship Id="rId14" Type="http://schemas.openxmlformats.org/officeDocument/2006/relationships/hyperlink" Target="https://trimionafrica.co.za/p/m142" TargetMode="External"/><Relationship Id="rId15" Type="http://schemas.openxmlformats.org/officeDocument/2006/relationships/hyperlink" Target="https://trimionafrica.co.za/p/m160" TargetMode="External"/><Relationship Id="rId16" Type="http://schemas.openxmlformats.org/officeDocument/2006/relationships/hyperlink" Target="https://trimionafrica.co.za/p/m161" TargetMode="External"/><Relationship Id="rId17" Type="http://schemas.openxmlformats.org/officeDocument/2006/relationships/hyperlink" Target="https://trimionafrica.co.za/p/m162" TargetMode="External"/><Relationship Id="rId18" Type="http://schemas.openxmlformats.org/officeDocument/2006/relationships/hyperlink" Target="https://trimionafrica.co.za/p/m163" TargetMode="External"/><Relationship Id="rId19" Type="http://schemas.openxmlformats.org/officeDocument/2006/relationships/hyperlink" Target="https://trimionafrica.co.za/p/m164" TargetMode="External"/><Relationship Id="rId20" Type="http://schemas.openxmlformats.org/officeDocument/2006/relationships/hyperlink" Target="https://trimionafrica.co.za/p/m34" TargetMode="External"/><Relationship Id="rId21" Type="http://schemas.openxmlformats.org/officeDocument/2006/relationships/hyperlink" Target="https://trimionafrica.co.za/p/m35" TargetMode="External"/><Relationship Id="rId22" Type="http://schemas.openxmlformats.org/officeDocument/2006/relationships/hyperlink" Target="https://trimionafrica.co.za/p/m36" TargetMode="External"/><Relationship Id="rId23" Type="http://schemas.openxmlformats.org/officeDocument/2006/relationships/hyperlink" Target="https://trimionafrica.co.za/p/m37" TargetMode="External"/><Relationship Id="rId24" Type="http://schemas.openxmlformats.org/officeDocument/2006/relationships/hyperlink" Target="https://trimionafrica.co.za/p/m38" TargetMode="External"/><Relationship Id="rId25" Type="http://schemas.openxmlformats.org/officeDocument/2006/relationships/hyperlink" Target="https://trimionafrica.co.za/p/m39" TargetMode="External"/><Relationship Id="rId26" Type="http://schemas.openxmlformats.org/officeDocument/2006/relationships/hyperlink" Target="https://trimionafrica.co.za/p/m40" TargetMode="External"/><Relationship Id="rId27" Type="http://schemas.openxmlformats.org/officeDocument/2006/relationships/hyperlink" Target="https://trimionafrica.co.za/p/m100" TargetMode="External"/><Relationship Id="rId28" Type="http://schemas.openxmlformats.org/officeDocument/2006/relationships/hyperlink" Target="https://trimionafrica.co.za/p/m7" TargetMode="External"/><Relationship Id="rId29" Type="http://schemas.openxmlformats.org/officeDocument/2006/relationships/hyperlink" Target="https://trimionafrica.co.za/p/m8" TargetMode="External"/><Relationship Id="rId30" Type="http://schemas.openxmlformats.org/officeDocument/2006/relationships/hyperlink" Target="https://trimionafrica.co.za/p/m9" TargetMode="External"/><Relationship Id="rId31" Type="http://schemas.openxmlformats.org/officeDocument/2006/relationships/hyperlink" Target="https://trimionafrica.co.za/p/m10" TargetMode="External"/><Relationship Id="rId32" Type="http://schemas.openxmlformats.org/officeDocument/2006/relationships/hyperlink" Target="https://trimionafrica.co.za/p/m11" TargetMode="External"/><Relationship Id="rId33" Type="http://schemas.openxmlformats.org/officeDocument/2006/relationships/hyperlink" Target="https://trimionafrica.co.za/p/m12" TargetMode="External"/><Relationship Id="rId34" Type="http://schemas.openxmlformats.org/officeDocument/2006/relationships/hyperlink" Target="https://trimionafrica.co.za/p/m13" TargetMode="External"/><Relationship Id="rId35" Type="http://schemas.openxmlformats.org/officeDocument/2006/relationships/hyperlink" Target="https://trimionafrica.co.za/p/m14" TargetMode="External"/><Relationship Id="rId36" Type="http://schemas.openxmlformats.org/officeDocument/2006/relationships/hyperlink" Target="https://trimionafrica.co.za/p/m15" TargetMode="External"/><Relationship Id="rId37" Type="http://schemas.openxmlformats.org/officeDocument/2006/relationships/hyperlink" Target="https://trimionafrica.co.za/p/m16" TargetMode="External"/><Relationship Id="rId38" Type="http://schemas.openxmlformats.org/officeDocument/2006/relationships/hyperlink" Target="https://trimionafrica.co.za/p/m18" TargetMode="External"/><Relationship Id="rId39" Type="http://schemas.openxmlformats.org/officeDocument/2006/relationships/hyperlink" Target="https://trimionafrica.co.za/p/m19" TargetMode="External"/><Relationship Id="rId40" Type="http://schemas.openxmlformats.org/officeDocument/2006/relationships/hyperlink" Target="https://trimionafrica.co.za/p/m20" TargetMode="External"/><Relationship Id="rId41" Type="http://schemas.openxmlformats.org/officeDocument/2006/relationships/hyperlink" Target="https://trimionafrica.co.za/p/m21" TargetMode="External"/><Relationship Id="rId42" Type="http://schemas.openxmlformats.org/officeDocument/2006/relationships/hyperlink" Target="https://trimionafrica.co.za/p/m22" TargetMode="External"/><Relationship Id="rId43" Type="http://schemas.openxmlformats.org/officeDocument/2006/relationships/hyperlink" Target="https://trimionafrica.co.za/p/m23" TargetMode="External"/><Relationship Id="rId44" Type="http://schemas.openxmlformats.org/officeDocument/2006/relationships/hyperlink" Target="https://trimionafrica.co.za/p/m24" TargetMode="External"/><Relationship Id="rId45" Type="http://schemas.openxmlformats.org/officeDocument/2006/relationships/hyperlink" Target="https://trimionafrica.co.za/p/m25" TargetMode="External"/><Relationship Id="rId46" Type="http://schemas.openxmlformats.org/officeDocument/2006/relationships/hyperlink" Target="https://trimionafrica.co.za/p/m26" TargetMode="External"/><Relationship Id="rId47" Type="http://schemas.openxmlformats.org/officeDocument/2006/relationships/hyperlink" Target="https://trimionafrica.co.za/p/m27" TargetMode="External"/><Relationship Id="rId48" Type="http://schemas.openxmlformats.org/officeDocument/2006/relationships/hyperlink" Target="https://trimionafrica.co.za/p/m28" TargetMode="External"/><Relationship Id="rId49" Type="http://schemas.openxmlformats.org/officeDocument/2006/relationships/hyperlink" Target="https://trimionafrica.co.za/p/m29" TargetMode="External"/><Relationship Id="rId50" Type="http://schemas.openxmlformats.org/officeDocument/2006/relationships/hyperlink" Target="https://trimionafrica.co.za/p/m30" TargetMode="External"/><Relationship Id="rId51" Type="http://schemas.openxmlformats.org/officeDocument/2006/relationships/hyperlink" Target="https://trimionafrica.co.za/p/m71" TargetMode="External"/><Relationship Id="rId52" Type="http://schemas.openxmlformats.org/officeDocument/2006/relationships/hyperlink" Target="https://trimionafrica.co.za/p/m72" TargetMode="External"/><Relationship Id="rId53" Type="http://schemas.openxmlformats.org/officeDocument/2006/relationships/hyperlink" Target="https://trimionafrica.co.za/p/m73" TargetMode="External"/><Relationship Id="rId54" Type="http://schemas.openxmlformats.org/officeDocument/2006/relationships/hyperlink" Target="https://trimionafrica.co.za/p/m74" TargetMode="External"/><Relationship Id="rId55" Type="http://schemas.openxmlformats.org/officeDocument/2006/relationships/hyperlink" Target="https://trimionafrica.co.za/p/m75" TargetMode="External"/><Relationship Id="rId56" Type="http://schemas.openxmlformats.org/officeDocument/2006/relationships/hyperlink" Target="https://trimionafrica.co.za/p/m76" TargetMode="External"/><Relationship Id="rId57" Type="http://schemas.openxmlformats.org/officeDocument/2006/relationships/hyperlink" Target="https://trimionafrica.co.za/p/m77" TargetMode="External"/><Relationship Id="rId58" Type="http://schemas.openxmlformats.org/officeDocument/2006/relationships/hyperlink" Target="https://trimionafrica.co.za/p/m78" TargetMode="External"/><Relationship Id="rId59" Type="http://schemas.openxmlformats.org/officeDocument/2006/relationships/hyperlink" Target="https://trimionafrica.co.za/p/m79" TargetMode="External"/><Relationship Id="rId60" Type="http://schemas.openxmlformats.org/officeDocument/2006/relationships/hyperlink" Target="https://trimionafrica.co.za/p/m80" TargetMode="External"/><Relationship Id="rId61" Type="http://schemas.openxmlformats.org/officeDocument/2006/relationships/hyperlink" Target="https://trimionafrica.co.za/p/m81" TargetMode="External"/><Relationship Id="rId62" Type="http://schemas.openxmlformats.org/officeDocument/2006/relationships/hyperlink" Target="https://trimionafrica.co.za/p/m82" TargetMode="External"/><Relationship Id="rId63" Type="http://schemas.openxmlformats.org/officeDocument/2006/relationships/hyperlink" Target="https://trimionafrica.co.za/p/m83" TargetMode="External"/><Relationship Id="rId64" Type="http://schemas.openxmlformats.org/officeDocument/2006/relationships/hyperlink" Target="https://trimionafrica.co.za/p/m84" TargetMode="External"/><Relationship Id="rId65" Type="http://schemas.openxmlformats.org/officeDocument/2006/relationships/hyperlink" Target="https://trimionafrica.co.za/p/m85" TargetMode="External"/><Relationship Id="rId66" Type="http://schemas.openxmlformats.org/officeDocument/2006/relationships/hyperlink" Target="https://trimionafrica.co.za/p/m86" TargetMode="External"/><Relationship Id="rId67" Type="http://schemas.openxmlformats.org/officeDocument/2006/relationships/hyperlink" Target="https://trimionafrica.co.za/p/m87" TargetMode="External"/><Relationship Id="rId68" Type="http://schemas.openxmlformats.org/officeDocument/2006/relationships/hyperlink" Target="https://trimionafrica.co.za/p/m88" TargetMode="External"/><Relationship Id="rId69" Type="http://schemas.openxmlformats.org/officeDocument/2006/relationships/hyperlink" Target="https://trimionafrica.co.za/p/m89" TargetMode="External"/><Relationship Id="rId70" Type="http://schemas.openxmlformats.org/officeDocument/2006/relationships/hyperlink" Target="https://trimionafrica.co.za/p/m90" TargetMode="External"/><Relationship Id="rId71" Type="http://schemas.openxmlformats.org/officeDocument/2006/relationships/hyperlink" Target="https://trimionafrica.co.za/p/m91" TargetMode="External"/><Relationship Id="rId72" Type="http://schemas.openxmlformats.org/officeDocument/2006/relationships/hyperlink" Target="https://trimionafrica.co.za/p/m92" TargetMode="External"/><Relationship Id="rId73" Type="http://schemas.openxmlformats.org/officeDocument/2006/relationships/hyperlink" Target="https://trimionafrica.co.za/p/m93" TargetMode="External"/><Relationship Id="rId74" Type="http://schemas.openxmlformats.org/officeDocument/2006/relationships/hyperlink" Target="https://trimionafrica.co.za/p/m94" TargetMode="External"/><Relationship Id="rId75" Type="http://schemas.openxmlformats.org/officeDocument/2006/relationships/hyperlink" Target="https://trimionafrica.co.za/p/m95" TargetMode="External"/><Relationship Id="rId76" Type="http://schemas.openxmlformats.org/officeDocument/2006/relationships/hyperlink" Target="https://trimionafrica.co.za/p/m96" TargetMode="External"/><Relationship Id="rId77" Type="http://schemas.openxmlformats.org/officeDocument/2006/relationships/hyperlink" Target="https://trimionafrica.co.za/p/m97" TargetMode="External"/><Relationship Id="rId78" Type="http://schemas.openxmlformats.org/officeDocument/2006/relationships/hyperlink" Target="https://trimionafrica.co.za/p/m98" TargetMode="External"/><Relationship Id="rId79" Type="http://schemas.openxmlformats.org/officeDocument/2006/relationships/hyperlink" Target="https://trimionafrica.co.za/p/m99" TargetMode="External"/><Relationship Id="rId80" Type="http://schemas.openxmlformats.org/officeDocument/2006/relationships/hyperlink" Target="https://trimionafrica.co.za/p/m59" TargetMode="External"/><Relationship Id="rId81" Type="http://schemas.openxmlformats.org/officeDocument/2006/relationships/hyperlink" Target="https://trimionafrica.co.za/p/m60" TargetMode="External"/><Relationship Id="rId82" Type="http://schemas.openxmlformats.org/officeDocument/2006/relationships/hyperlink" Target="https://trimionafrica.co.za/p/m61" TargetMode="External"/><Relationship Id="rId83" Type="http://schemas.openxmlformats.org/officeDocument/2006/relationships/hyperlink" Target="https://trimionafrica.co.za/p/m62" TargetMode="External"/><Relationship Id="rId84" Type="http://schemas.openxmlformats.org/officeDocument/2006/relationships/hyperlink" Target="https://trimionafrica.co.za/p/m63" TargetMode="External"/><Relationship Id="rId85" Type="http://schemas.openxmlformats.org/officeDocument/2006/relationships/hyperlink" Target="https://trimionafrica.co.za/p/m64" TargetMode="External"/><Relationship Id="rId86" Type="http://schemas.openxmlformats.org/officeDocument/2006/relationships/hyperlink" Target="https://trimionafrica.co.za/p/m65" TargetMode="External"/><Relationship Id="rId87" Type="http://schemas.openxmlformats.org/officeDocument/2006/relationships/hyperlink" Target="https://trimionafrica.co.za/p/m66" TargetMode="External"/><Relationship Id="rId88" Type="http://schemas.openxmlformats.org/officeDocument/2006/relationships/hyperlink" Target="https://trimionafrica.co.za/p/m143" TargetMode="External"/><Relationship Id="rId89" Type="http://schemas.openxmlformats.org/officeDocument/2006/relationships/hyperlink" Target="https://trimionafrica.co.za/p/m144" TargetMode="External"/><Relationship Id="rId90" Type="http://schemas.openxmlformats.org/officeDocument/2006/relationships/hyperlink" Target="https://trimionafrica.co.za/p/m145" TargetMode="External"/><Relationship Id="rId91" Type="http://schemas.openxmlformats.org/officeDocument/2006/relationships/hyperlink" Target="https://trimionafrica.co.za/p/m146" TargetMode="External"/><Relationship Id="rId92" Type="http://schemas.openxmlformats.org/officeDocument/2006/relationships/hyperlink" Target="https://trimionafrica.co.za/p/m147" TargetMode="External"/><Relationship Id="rId93" Type="http://schemas.openxmlformats.org/officeDocument/2006/relationships/hyperlink" Target="https://trimionafrica.co.za/p/m148" TargetMode="External"/><Relationship Id="rId94" Type="http://schemas.openxmlformats.org/officeDocument/2006/relationships/hyperlink" Target="https://trimionafrica.co.za/p/m149" TargetMode="External"/><Relationship Id="rId95" Type="http://schemas.openxmlformats.org/officeDocument/2006/relationships/hyperlink" Target="https://trimionafrica.co.za/p/m150" TargetMode="External"/><Relationship Id="rId96" Type="http://schemas.openxmlformats.org/officeDocument/2006/relationships/hyperlink" Target="https://trimionafrica.co.za/p/m151" TargetMode="External"/><Relationship Id="rId97" Type="http://schemas.openxmlformats.org/officeDocument/2006/relationships/hyperlink" Target="https://trimionafrica.co.za/p/m152" TargetMode="External"/><Relationship Id="rId98" Type="http://schemas.openxmlformats.org/officeDocument/2006/relationships/hyperlink" Target="https://trimionafrica.co.za/p/m153" TargetMode="External"/><Relationship Id="rId99" Type="http://schemas.openxmlformats.org/officeDocument/2006/relationships/hyperlink" Target="https://trimionafrica.co.za/p/m154" TargetMode="External"/><Relationship Id="rId100" Type="http://schemas.openxmlformats.org/officeDocument/2006/relationships/hyperlink" Target="https://trimionafrica.co.za/p/m155" TargetMode="External"/><Relationship Id="rId101" Type="http://schemas.openxmlformats.org/officeDocument/2006/relationships/hyperlink" Target="https://trimionafrica.co.za/p/m156" TargetMode="External"/><Relationship Id="rId102" Type="http://schemas.openxmlformats.org/officeDocument/2006/relationships/hyperlink" Target="https://trimionafrica.co.za/p/m157" TargetMode="External"/><Relationship Id="rId103" Type="http://schemas.openxmlformats.org/officeDocument/2006/relationships/hyperlink" Target="https://trimionafrica.co.za/p/m158" TargetMode="External"/><Relationship Id="rId104" Type="http://schemas.openxmlformats.org/officeDocument/2006/relationships/hyperlink" Target="https://trimionafrica.co.za/p/m123" TargetMode="External"/><Relationship Id="rId105" Type="http://schemas.openxmlformats.org/officeDocument/2006/relationships/hyperlink" Target="https://trimionafrica.co.za/p/m124" TargetMode="External"/><Relationship Id="rId106" Type="http://schemas.openxmlformats.org/officeDocument/2006/relationships/hyperlink" Target="https://trimionafrica.co.za/p/m125" TargetMode="External"/><Relationship Id="rId107" Type="http://schemas.openxmlformats.org/officeDocument/2006/relationships/hyperlink" Target="https://trimionafrica.co.za/p/m126" TargetMode="External"/><Relationship Id="rId108" Type="http://schemas.openxmlformats.org/officeDocument/2006/relationships/hyperlink" Target="https://trimionafrica.co.za/p/m127" TargetMode="External"/><Relationship Id="rId109" Type="http://schemas.openxmlformats.org/officeDocument/2006/relationships/hyperlink" Target="https://trimionafrica.co.za/p/m128" TargetMode="External"/><Relationship Id="rId110" Type="http://schemas.openxmlformats.org/officeDocument/2006/relationships/hyperlink" Target="https://trimionafrica.co.za/p/m129" TargetMode="External"/><Relationship Id="rId111" Type="http://schemas.openxmlformats.org/officeDocument/2006/relationships/hyperlink" Target="https://trimionafrica.co.za/p/m130" TargetMode="External"/><Relationship Id="rId112" Type="http://schemas.openxmlformats.org/officeDocument/2006/relationships/hyperlink" Target="https://trimionafrica.co.za/p/m131" TargetMode="External"/><Relationship Id="rId113" Type="http://schemas.openxmlformats.org/officeDocument/2006/relationships/hyperlink" Target="https://trimionafrica.co.za/p/m132" TargetMode="External"/><Relationship Id="rId114" Type="http://schemas.openxmlformats.org/officeDocument/2006/relationships/hyperlink" Target="https://trimionafrica.co.za/p/m133" TargetMode="External"/><Relationship Id="rId115" Type="http://schemas.openxmlformats.org/officeDocument/2006/relationships/hyperlink" Target="https://trimionafrica.co.za/p/m44" TargetMode="External"/><Relationship Id="rId116" Type="http://schemas.openxmlformats.org/officeDocument/2006/relationships/hyperlink" Target="https://trimionafrica.co.za/p/m45" TargetMode="External"/><Relationship Id="rId117" Type="http://schemas.openxmlformats.org/officeDocument/2006/relationships/hyperlink" Target="https://trimionafrica.co.za/p/m46" TargetMode="External"/><Relationship Id="rId118" Type="http://schemas.openxmlformats.org/officeDocument/2006/relationships/hyperlink" Target="https://trimionafrica.co.za/p/m47" TargetMode="External"/><Relationship Id="rId119" Type="http://schemas.openxmlformats.org/officeDocument/2006/relationships/hyperlink" Target="https://trimionafrica.co.za/p/m48" TargetMode="External"/><Relationship Id="rId120" Type="http://schemas.openxmlformats.org/officeDocument/2006/relationships/hyperlink" Target="https://trimionafrica.co.za/p/m49" TargetMode="External"/><Relationship Id="rId121" Type="http://schemas.openxmlformats.org/officeDocument/2006/relationships/hyperlink" Target="https://trimionafrica.co.za/p/m101" TargetMode="External"/><Relationship Id="rId122" Type="http://schemas.openxmlformats.org/officeDocument/2006/relationships/hyperlink" Target="https://trimionafrica.co.za/p/m102" TargetMode="External"/><Relationship Id="rId123" Type="http://schemas.openxmlformats.org/officeDocument/2006/relationships/hyperlink" Target="https://trimionafrica.co.za/p/m103" TargetMode="External"/><Relationship Id="rId124" Type="http://schemas.openxmlformats.org/officeDocument/2006/relationships/hyperlink" Target="https://trimionafrica.co.za/p/m104" TargetMode="External"/><Relationship Id="rId125" Type="http://schemas.openxmlformats.org/officeDocument/2006/relationships/hyperlink" Target="https://trimionafrica.co.za/p/m105" TargetMode="External"/><Relationship Id="rId126" Type="http://schemas.openxmlformats.org/officeDocument/2006/relationships/hyperlink" Target="https://trimionafrica.co.za/p/m106" TargetMode="External"/><Relationship Id="rId127" Type="http://schemas.openxmlformats.org/officeDocument/2006/relationships/hyperlink" Target="https://trimionafrica.co.za/p/m107" TargetMode="External"/><Relationship Id="rId128" Type="http://schemas.openxmlformats.org/officeDocument/2006/relationships/hyperlink" Target="https://trimionafrica.co.za/p/m108" TargetMode="External"/><Relationship Id="rId129" Type="http://schemas.openxmlformats.org/officeDocument/2006/relationships/hyperlink" Target="https://trimionafrica.co.za/p/m109" TargetMode="External"/><Relationship Id="rId130" Type="http://schemas.openxmlformats.org/officeDocument/2006/relationships/hyperlink" Target="https://trimionafrica.co.za/p/m110" TargetMode="External"/><Relationship Id="rId131" Type="http://schemas.openxmlformats.org/officeDocument/2006/relationships/hyperlink" Target="https://trimionafrica.co.za/p/m111" TargetMode="External"/><Relationship Id="rId132" Type="http://schemas.openxmlformats.org/officeDocument/2006/relationships/hyperlink" Target="https://trimionafrica.co.za/p/m112" TargetMode="External"/><Relationship Id="rId133" Type="http://schemas.openxmlformats.org/officeDocument/2006/relationships/hyperlink" Target="https://trimionafrica.co.za/p/m113" TargetMode="External"/><Relationship Id="rId134" Type="http://schemas.openxmlformats.org/officeDocument/2006/relationships/hyperlink" Target="https://trimionafrica.co.za/p/m114" TargetMode="External"/><Relationship Id="rId135" Type="http://schemas.openxmlformats.org/officeDocument/2006/relationships/hyperlink" Target="https://trimionafrica.co.za/p/m115" TargetMode="External"/><Relationship Id="rId136" Type="http://schemas.openxmlformats.org/officeDocument/2006/relationships/hyperlink" Target="https://trimionafrica.co.za/p/m116" TargetMode="External"/><Relationship Id="rId137" Type="http://schemas.openxmlformats.org/officeDocument/2006/relationships/hyperlink" Target="https://trimionafrica.co.za/p/m117" TargetMode="External"/><Relationship Id="rId138" Type="http://schemas.openxmlformats.org/officeDocument/2006/relationships/hyperlink" Target="https://trimionafrica.co.za/p/m118" TargetMode="External"/><Relationship Id="rId139" Type="http://schemas.openxmlformats.org/officeDocument/2006/relationships/hyperlink" Target="https://trimionafrica.co.za/p/m119" TargetMode="External"/><Relationship Id="rId140" Type="http://schemas.openxmlformats.org/officeDocument/2006/relationships/hyperlink" Target="https://trimionafrica.co.za/p/m120" TargetMode="External"/><Relationship Id="rId141" Type="http://schemas.openxmlformats.org/officeDocument/2006/relationships/hyperlink" Target="https://trimionafrica.co.za/p/m121" TargetMode="External"/><Relationship Id="rId142" Type="http://schemas.openxmlformats.org/officeDocument/2006/relationships/hyperlink" Target="https://trimionafrica.co.za/p/m122" TargetMode="External"/><Relationship Id="rId143" Type="http://schemas.openxmlformats.org/officeDocument/2006/relationships/hyperlink" Target="https://trimionafrica.co.za/p/m159" TargetMode="External"/><Relationship Id="rId14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16.46</v>
      </c>
      <c r="C2" s="4" t="s">
        <v>2</v>
      </c>
    </row>
    <row r="3" customFormat="false" ht="15" hidden="false" customHeight="false" outlineLevel="0" collapsed="false">
      <c r="A3" s="2" t="s">
        <v>3</v>
      </c>
      <c r="B3" s="5" t="n">
        <v>0.15</v>
      </c>
      <c r="C3" s="4" t="s">
        <v>4</v>
      </c>
    </row>
    <row r="4" customFormat="false" ht="15" hidden="false" customHeight="false" outlineLevel="0" collapsed="false">
      <c r="A4" s="2" t="s">
        <v>5</v>
      </c>
      <c r="B4" s="5" t="n">
        <v>0.3</v>
      </c>
      <c r="C4" s="4" t="s">
        <v>6</v>
      </c>
    </row>
    <row r="5" customFormat="false" ht="15" hidden="false" customHeight="false" outlineLevel="0" collapsed="false">
      <c r="A5" s="2" t="s">
        <v>7</v>
      </c>
      <c r="B5" s="5" t="n">
        <v>0.375</v>
      </c>
      <c r="C5" s="4" t="s">
        <v>8</v>
      </c>
    </row>
    <row r="6" customFormat="false" ht="15" hidden="false" customHeight="false" outlineLevel="0" collapsed="false">
      <c r="A6" s="2" t="s">
        <v>9</v>
      </c>
      <c r="B6" s="6" t="n">
        <v>50</v>
      </c>
      <c r="C6" s="4"/>
    </row>
    <row r="8" customFormat="false" ht="15" hidden="false" customHeight="false" outlineLevel="0" collapsed="false">
      <c r="A8" s="7" t="s">
        <v>10</v>
      </c>
    </row>
    <row r="9" customFormat="false" ht="15" hidden="false" customHeight="false" outlineLevel="0" collapsed="false">
      <c r="A9" s="2" t="s">
        <v>11</v>
      </c>
    </row>
    <row r="10" customFormat="false" ht="15" hidden="false" customHeight="false" outlineLevel="0" collapsed="false">
      <c r="A10" s="2" t="s">
        <v>12</v>
      </c>
    </row>
    <row r="11" customFormat="false" ht="15" hidden="false" customHeight="false" outlineLevel="0" collapsed="false">
      <c r="A11" s="2" t="s">
        <v>13</v>
      </c>
    </row>
    <row r="12" customFormat="false" ht="15" hidden="false" customHeight="false" outlineLevel="0" collapsed="false">
      <c r="A12" s="2" t="s">
        <v>14</v>
      </c>
    </row>
    <row r="13" customFormat="false" ht="15" hidden="false" customHeight="false" outlineLevel="0" collapsed="false">
      <c r="A13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60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34"/>
  </cols>
  <sheetData>
    <row r="1" customFormat="false" ht="42" hidden="false" customHeight="true" outlineLevel="0" collapsed="false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8" t="s">
        <v>25</v>
      </c>
      <c r="K1" s="8" t="s">
        <v>26</v>
      </c>
      <c r="L1" s="8" t="s">
        <v>27</v>
      </c>
      <c r="M1" s="8" t="s">
        <v>28</v>
      </c>
      <c r="N1" s="8" t="s">
        <v>29</v>
      </c>
    </row>
    <row r="2" customFormat="false" ht="15" hidden="false" customHeight="false" outlineLevel="0" collapsed="false">
      <c r="A2" s="9" t="n">
        <v>53</v>
      </c>
      <c r="B2" s="9" t="s">
        <v>30</v>
      </c>
      <c r="C2" s="9" t="s">
        <v>31</v>
      </c>
      <c r="D2" s="9" t="s">
        <v>32</v>
      </c>
      <c r="E2" s="10" t="n">
        <v>1600</v>
      </c>
      <c r="F2" s="11" t="s">
        <v>33</v>
      </c>
      <c r="G2" s="9" t="s">
        <v>34</v>
      </c>
      <c r="H2" s="12" t="n">
        <f aca="false">IF(D2="Consumables",Settings!$B$4,Settings!$B$3)</f>
        <v>0.15</v>
      </c>
      <c r="I2" s="13" t="n">
        <f aca="false">E2*Settings!$B$2*(1+H2)</f>
        <v>30286.4</v>
      </c>
      <c r="J2" s="14" t="n">
        <f aca="false">Settings!$B$5</f>
        <v>0.375</v>
      </c>
      <c r="K2" s="13" t="n">
        <f aca="false">CEILING(I2*(1+J2),Settings!$B$6)</f>
        <v>41650</v>
      </c>
      <c r="L2" s="13" t="n">
        <f aca="false">K2-I2</f>
        <v>11363.6</v>
      </c>
      <c r="M2" s="14" t="n">
        <f aca="false">IF(K2=0,0,L2/K2)</f>
        <v>0.272835534213686</v>
      </c>
      <c r="N2" s="15" t="s">
        <v>35</v>
      </c>
    </row>
    <row r="3" customFormat="false" ht="15" hidden="false" customHeight="false" outlineLevel="0" collapsed="false">
      <c r="A3" s="9" t="n">
        <v>54</v>
      </c>
      <c r="B3" s="9" t="s">
        <v>36</v>
      </c>
      <c r="C3" s="9" t="s">
        <v>37</v>
      </c>
      <c r="D3" s="9" t="s">
        <v>32</v>
      </c>
      <c r="E3" s="10" t="n">
        <v>1450</v>
      </c>
      <c r="F3" s="11" t="s">
        <v>33</v>
      </c>
      <c r="G3" s="9" t="s">
        <v>34</v>
      </c>
      <c r="H3" s="12" t="n">
        <f aca="false">IF(D3="Consumables",Settings!$B$4,Settings!$B$3)</f>
        <v>0.15</v>
      </c>
      <c r="I3" s="13" t="n">
        <f aca="false">E3*Settings!$B$2*(1+H3)</f>
        <v>27447.05</v>
      </c>
      <c r="J3" s="14" t="n">
        <f aca="false">Settings!$B$5</f>
        <v>0.375</v>
      </c>
      <c r="K3" s="13" t="n">
        <f aca="false">CEILING(I3*(1+J3),Settings!$B$6)</f>
        <v>37750</v>
      </c>
      <c r="L3" s="13" t="n">
        <f aca="false">K3-I3</f>
        <v>10302.95</v>
      </c>
      <c r="M3" s="14" t="n">
        <f aca="false">IF(K3=0,0,L3/K3)</f>
        <v>0.27292582781457</v>
      </c>
      <c r="N3" s="15" t="s">
        <v>38</v>
      </c>
    </row>
    <row r="4" customFormat="false" ht="15" hidden="false" customHeight="false" outlineLevel="0" collapsed="false">
      <c r="A4" s="9" t="n">
        <v>55</v>
      </c>
      <c r="B4" s="9" t="s">
        <v>39</v>
      </c>
      <c r="C4" s="9" t="s">
        <v>40</v>
      </c>
      <c r="D4" s="9" t="s">
        <v>32</v>
      </c>
      <c r="E4" s="10" t="n">
        <v>1000</v>
      </c>
      <c r="F4" s="11" t="s">
        <v>33</v>
      </c>
      <c r="G4" s="9" t="s">
        <v>34</v>
      </c>
      <c r="H4" s="12" t="n">
        <f aca="false">IF(D4="Consumables",Settings!$B$4,Settings!$B$3)</f>
        <v>0.15</v>
      </c>
      <c r="I4" s="13" t="n">
        <f aca="false">E4*Settings!$B$2*(1+H4)</f>
        <v>18929</v>
      </c>
      <c r="J4" s="14" t="n">
        <f aca="false">Settings!$B$5</f>
        <v>0.375</v>
      </c>
      <c r="K4" s="13" t="n">
        <f aca="false">CEILING(I4*(1+J4),Settings!$B$6)</f>
        <v>26050</v>
      </c>
      <c r="L4" s="13" t="n">
        <f aca="false">K4-I4</f>
        <v>7121</v>
      </c>
      <c r="M4" s="14" t="n">
        <f aca="false">IF(K4=0,0,L4/K4)</f>
        <v>0.273358925143954</v>
      </c>
      <c r="N4" s="15" t="s">
        <v>41</v>
      </c>
    </row>
    <row r="5" customFormat="false" ht="15" hidden="false" customHeight="false" outlineLevel="0" collapsed="false">
      <c r="A5" s="9" t="n">
        <v>56</v>
      </c>
      <c r="B5" s="9" t="s">
        <v>42</v>
      </c>
      <c r="C5" s="9" t="s">
        <v>43</v>
      </c>
      <c r="D5" s="9" t="s">
        <v>32</v>
      </c>
      <c r="E5" s="10" t="n">
        <v>380</v>
      </c>
      <c r="F5" s="11" t="s">
        <v>33</v>
      </c>
      <c r="G5" s="9" t="s">
        <v>44</v>
      </c>
      <c r="H5" s="12" t="n">
        <f aca="false">IF(D5="Consumables",Settings!$B$4,Settings!$B$3)</f>
        <v>0.15</v>
      </c>
      <c r="I5" s="13" t="n">
        <f aca="false">E5*Settings!$B$2*(1+H5)</f>
        <v>7193.02</v>
      </c>
      <c r="J5" s="14" t="n">
        <f aca="false">Settings!$B$5</f>
        <v>0.375</v>
      </c>
      <c r="K5" s="13" t="n">
        <f aca="false">CEILING(I5*(1+J5),Settings!$B$6)</f>
        <v>9900</v>
      </c>
      <c r="L5" s="13" t="n">
        <f aca="false">K5-I5</f>
        <v>2706.98</v>
      </c>
      <c r="M5" s="14" t="n">
        <f aca="false">IF(K5=0,0,L5/K5)</f>
        <v>0.273432323232323</v>
      </c>
      <c r="N5" s="15" t="s">
        <v>45</v>
      </c>
    </row>
    <row r="6" customFormat="false" ht="15" hidden="false" customHeight="false" outlineLevel="0" collapsed="false">
      <c r="A6" s="9" t="n">
        <v>57</v>
      </c>
      <c r="B6" s="9" t="s">
        <v>46</v>
      </c>
      <c r="C6" s="9" t="s">
        <v>47</v>
      </c>
      <c r="D6" s="9" t="s">
        <v>32</v>
      </c>
      <c r="E6" s="10" t="n">
        <v>480</v>
      </c>
      <c r="F6" s="11" t="s">
        <v>33</v>
      </c>
      <c r="G6" s="9" t="s">
        <v>44</v>
      </c>
      <c r="H6" s="12" t="n">
        <f aca="false">IF(D6="Consumables",Settings!$B$4,Settings!$B$3)</f>
        <v>0.15</v>
      </c>
      <c r="I6" s="13" t="n">
        <f aca="false">E6*Settings!$B$2*(1+H6)</f>
        <v>9085.92</v>
      </c>
      <c r="J6" s="14" t="n">
        <f aca="false">Settings!$B$5</f>
        <v>0.375</v>
      </c>
      <c r="K6" s="13" t="n">
        <f aca="false">CEILING(I6*(1+J6),Settings!$B$6)</f>
        <v>12500</v>
      </c>
      <c r="L6" s="13" t="n">
        <f aca="false">K6-I6</f>
        <v>3414.08</v>
      </c>
      <c r="M6" s="14" t="n">
        <f aca="false">IF(K6=0,0,L6/K6)</f>
        <v>0.2731264</v>
      </c>
      <c r="N6" s="15" t="s">
        <v>48</v>
      </c>
    </row>
    <row r="7" customFormat="false" ht="15" hidden="false" customHeight="false" outlineLevel="0" collapsed="false">
      <c r="A7" s="9" t="n">
        <v>134</v>
      </c>
      <c r="B7" s="9" t="s">
        <v>49</v>
      </c>
      <c r="C7" s="9" t="s">
        <v>50</v>
      </c>
      <c r="D7" s="9" t="s">
        <v>32</v>
      </c>
      <c r="E7" s="10" t="n">
        <v>380</v>
      </c>
      <c r="F7" s="11" t="s">
        <v>33</v>
      </c>
      <c r="G7" s="9" t="s">
        <v>44</v>
      </c>
      <c r="H7" s="12" t="n">
        <f aca="false">IF(D7="Consumables",Settings!$B$4,Settings!$B$3)</f>
        <v>0.15</v>
      </c>
      <c r="I7" s="13" t="n">
        <f aca="false">E7*Settings!$B$2*(1+H7)</f>
        <v>7193.02</v>
      </c>
      <c r="J7" s="14" t="n">
        <f aca="false">Settings!$B$5</f>
        <v>0.375</v>
      </c>
      <c r="K7" s="13" t="n">
        <f aca="false">CEILING(I7*(1+J7),Settings!$B$6)</f>
        <v>9900</v>
      </c>
      <c r="L7" s="13" t="n">
        <f aca="false">K7-I7</f>
        <v>2706.98</v>
      </c>
      <c r="M7" s="14" t="n">
        <f aca="false">IF(K7=0,0,L7/K7)</f>
        <v>0.273432323232323</v>
      </c>
      <c r="N7" s="15" t="s">
        <v>51</v>
      </c>
    </row>
    <row r="8" customFormat="false" ht="15" hidden="false" customHeight="false" outlineLevel="0" collapsed="false">
      <c r="A8" s="9" t="n">
        <v>135</v>
      </c>
      <c r="B8" s="9" t="s">
        <v>52</v>
      </c>
      <c r="C8" s="9" t="s">
        <v>53</v>
      </c>
      <c r="D8" s="9" t="s">
        <v>32</v>
      </c>
      <c r="E8" s="10" t="n">
        <v>380</v>
      </c>
      <c r="F8" s="11" t="s">
        <v>33</v>
      </c>
      <c r="G8" s="9" t="s">
        <v>44</v>
      </c>
      <c r="H8" s="12" t="n">
        <f aca="false">IF(D8="Consumables",Settings!$B$4,Settings!$B$3)</f>
        <v>0.15</v>
      </c>
      <c r="I8" s="13" t="n">
        <f aca="false">E8*Settings!$B$2*(1+H8)</f>
        <v>7193.02</v>
      </c>
      <c r="J8" s="14" t="n">
        <f aca="false">Settings!$B$5</f>
        <v>0.375</v>
      </c>
      <c r="K8" s="13" t="n">
        <f aca="false">CEILING(I8*(1+J8),Settings!$B$6)</f>
        <v>9900</v>
      </c>
      <c r="L8" s="13" t="n">
        <f aca="false">K8-I8</f>
        <v>2706.98</v>
      </c>
      <c r="M8" s="14" t="n">
        <f aca="false">IF(K8=0,0,L8/K8)</f>
        <v>0.273432323232323</v>
      </c>
      <c r="N8" s="15" t="s">
        <v>54</v>
      </c>
    </row>
    <row r="9" customFormat="false" ht="15" hidden="false" customHeight="false" outlineLevel="0" collapsed="false">
      <c r="A9" s="9" t="n">
        <v>136</v>
      </c>
      <c r="B9" s="9" t="s">
        <v>55</v>
      </c>
      <c r="C9" s="9" t="s">
        <v>56</v>
      </c>
      <c r="D9" s="9" t="s">
        <v>32</v>
      </c>
      <c r="E9" s="10" t="n">
        <v>520</v>
      </c>
      <c r="F9" s="11" t="s">
        <v>33</v>
      </c>
      <c r="G9" s="9" t="s">
        <v>44</v>
      </c>
      <c r="H9" s="12" t="n">
        <f aca="false">IF(D9="Consumables",Settings!$B$4,Settings!$B$3)</f>
        <v>0.15</v>
      </c>
      <c r="I9" s="13" t="n">
        <f aca="false">E9*Settings!$B$2*(1+H9)</f>
        <v>9843.08</v>
      </c>
      <c r="J9" s="14" t="n">
        <f aca="false">Settings!$B$5</f>
        <v>0.375</v>
      </c>
      <c r="K9" s="13" t="n">
        <f aca="false">CEILING(I9*(1+J9),Settings!$B$6)</f>
        <v>13550</v>
      </c>
      <c r="L9" s="13" t="n">
        <f aca="false">K9-I9</f>
        <v>3706.92</v>
      </c>
      <c r="M9" s="14" t="n">
        <f aca="false">IF(K9=0,0,L9/K9)</f>
        <v>0.273573431734317</v>
      </c>
      <c r="N9" s="15" t="s">
        <v>57</v>
      </c>
    </row>
    <row r="10" customFormat="false" ht="15" hidden="false" customHeight="false" outlineLevel="0" collapsed="false">
      <c r="A10" s="9" t="n">
        <v>137</v>
      </c>
      <c r="B10" s="9" t="s">
        <v>58</v>
      </c>
      <c r="C10" s="9" t="s">
        <v>59</v>
      </c>
      <c r="D10" s="9" t="s">
        <v>32</v>
      </c>
      <c r="E10" s="10" t="n">
        <v>450</v>
      </c>
      <c r="F10" s="11" t="s">
        <v>33</v>
      </c>
      <c r="G10" s="9" t="s">
        <v>44</v>
      </c>
      <c r="H10" s="12" t="n">
        <f aca="false">IF(D10="Consumables",Settings!$B$4,Settings!$B$3)</f>
        <v>0.15</v>
      </c>
      <c r="I10" s="13" t="n">
        <f aca="false">E10*Settings!$B$2*(1+H10)</f>
        <v>8518.05</v>
      </c>
      <c r="J10" s="14" t="n">
        <f aca="false">Settings!$B$5</f>
        <v>0.375</v>
      </c>
      <c r="K10" s="13" t="n">
        <f aca="false">CEILING(I10*(1+J10),Settings!$B$6)</f>
        <v>11750</v>
      </c>
      <c r="L10" s="13" t="n">
        <f aca="false">K10-I10</f>
        <v>3231.95</v>
      </c>
      <c r="M10" s="14" t="n">
        <f aca="false">IF(K10=0,0,L10/K10)</f>
        <v>0.275059574468085</v>
      </c>
      <c r="N10" s="15" t="s">
        <v>60</v>
      </c>
    </row>
    <row r="11" customFormat="false" ht="15" hidden="false" customHeight="false" outlineLevel="0" collapsed="false">
      <c r="A11" s="9" t="n">
        <v>138</v>
      </c>
      <c r="B11" s="9" t="s">
        <v>61</v>
      </c>
      <c r="C11" s="9" t="s">
        <v>62</v>
      </c>
      <c r="D11" s="9" t="s">
        <v>32</v>
      </c>
      <c r="E11" s="10" t="n">
        <v>330</v>
      </c>
      <c r="F11" s="11" t="s">
        <v>33</v>
      </c>
      <c r="G11" s="9" t="s">
        <v>44</v>
      </c>
      <c r="H11" s="12" t="n">
        <f aca="false">IF(D11="Consumables",Settings!$B$4,Settings!$B$3)</f>
        <v>0.15</v>
      </c>
      <c r="I11" s="13" t="n">
        <f aca="false">E11*Settings!$B$2*(1+H11)</f>
        <v>6246.57</v>
      </c>
      <c r="J11" s="14" t="n">
        <f aca="false">Settings!$B$5</f>
        <v>0.375</v>
      </c>
      <c r="K11" s="13" t="n">
        <f aca="false">CEILING(I11*(1+J11),Settings!$B$6)</f>
        <v>8600</v>
      </c>
      <c r="L11" s="13" t="n">
        <f aca="false">K11-I11</f>
        <v>2353.43</v>
      </c>
      <c r="M11" s="14" t="n">
        <f aca="false">IF(K11=0,0,L11/K11)</f>
        <v>0.273654651162791</v>
      </c>
      <c r="N11" s="15" t="s">
        <v>63</v>
      </c>
    </row>
    <row r="12" customFormat="false" ht="15" hidden="false" customHeight="false" outlineLevel="0" collapsed="false">
      <c r="A12" s="9" t="n">
        <v>139</v>
      </c>
      <c r="B12" s="9" t="s">
        <v>64</v>
      </c>
      <c r="C12" s="9" t="s">
        <v>65</v>
      </c>
      <c r="D12" s="9" t="s">
        <v>32</v>
      </c>
      <c r="E12" s="10" t="n">
        <v>350</v>
      </c>
      <c r="F12" s="11" t="s">
        <v>33</v>
      </c>
      <c r="G12" s="9" t="s">
        <v>44</v>
      </c>
      <c r="H12" s="12" t="n">
        <f aca="false">IF(D12="Consumables",Settings!$B$4,Settings!$B$3)</f>
        <v>0.15</v>
      </c>
      <c r="I12" s="13" t="n">
        <f aca="false">E12*Settings!$B$2*(1+H12)</f>
        <v>6625.15</v>
      </c>
      <c r="J12" s="14" t="n">
        <f aca="false">Settings!$B$5</f>
        <v>0.375</v>
      </c>
      <c r="K12" s="13" t="n">
        <f aca="false">CEILING(I12*(1+J12),Settings!$B$6)</f>
        <v>9150</v>
      </c>
      <c r="L12" s="13" t="n">
        <f aca="false">K12-I12</f>
        <v>2524.85</v>
      </c>
      <c r="M12" s="14" t="n">
        <f aca="false">IF(K12=0,0,L12/K12)</f>
        <v>0.275939890710383</v>
      </c>
      <c r="N12" s="15" t="s">
        <v>66</v>
      </c>
    </row>
    <row r="13" customFormat="false" ht="15" hidden="false" customHeight="false" outlineLevel="0" collapsed="false">
      <c r="A13" s="9" t="n">
        <v>140</v>
      </c>
      <c r="B13" s="9" t="s">
        <v>67</v>
      </c>
      <c r="C13" s="9" t="s">
        <v>68</v>
      </c>
      <c r="D13" s="9" t="s">
        <v>32</v>
      </c>
      <c r="E13" s="10" t="n">
        <v>480</v>
      </c>
      <c r="F13" s="11" t="s">
        <v>33</v>
      </c>
      <c r="G13" s="9" t="s">
        <v>44</v>
      </c>
      <c r="H13" s="12" t="n">
        <f aca="false">IF(D13="Consumables",Settings!$B$4,Settings!$B$3)</f>
        <v>0.15</v>
      </c>
      <c r="I13" s="13" t="n">
        <f aca="false">E13*Settings!$B$2*(1+H13)</f>
        <v>9085.92</v>
      </c>
      <c r="J13" s="14" t="n">
        <f aca="false">Settings!$B$5</f>
        <v>0.375</v>
      </c>
      <c r="K13" s="13" t="n">
        <f aca="false">CEILING(I13*(1+J13),Settings!$B$6)</f>
        <v>12500</v>
      </c>
      <c r="L13" s="13" t="n">
        <f aca="false">K13-I13</f>
        <v>3414.08</v>
      </c>
      <c r="M13" s="14" t="n">
        <f aca="false">IF(K13=0,0,L13/K13)</f>
        <v>0.2731264</v>
      </c>
      <c r="N13" s="15" t="s">
        <v>69</v>
      </c>
    </row>
    <row r="14" customFormat="false" ht="15" hidden="false" customHeight="false" outlineLevel="0" collapsed="false">
      <c r="A14" s="9" t="n">
        <v>141</v>
      </c>
      <c r="B14" s="9" t="s">
        <v>70</v>
      </c>
      <c r="C14" s="9" t="s">
        <v>71</v>
      </c>
      <c r="D14" s="9" t="s">
        <v>32</v>
      </c>
      <c r="E14" s="10" t="n">
        <v>600</v>
      </c>
      <c r="F14" s="11" t="s">
        <v>33</v>
      </c>
      <c r="G14" s="9" t="s">
        <v>44</v>
      </c>
      <c r="H14" s="12" t="n">
        <f aca="false">IF(D14="Consumables",Settings!$B$4,Settings!$B$3)</f>
        <v>0.15</v>
      </c>
      <c r="I14" s="13" t="n">
        <f aca="false">E14*Settings!$B$2*(1+H14)</f>
        <v>11357.4</v>
      </c>
      <c r="J14" s="14" t="n">
        <f aca="false">Settings!$B$5</f>
        <v>0.375</v>
      </c>
      <c r="K14" s="13" t="n">
        <f aca="false">CEILING(I14*(1+J14),Settings!$B$6)</f>
        <v>15650</v>
      </c>
      <c r="L14" s="13" t="n">
        <f aca="false">K14-I14</f>
        <v>4292.6</v>
      </c>
      <c r="M14" s="14" t="n">
        <f aca="false">IF(K14=0,0,L14/K14)</f>
        <v>0.274287539936102</v>
      </c>
      <c r="N14" s="15" t="s">
        <v>72</v>
      </c>
    </row>
    <row r="15" customFormat="false" ht="15" hidden="false" customHeight="false" outlineLevel="0" collapsed="false">
      <c r="A15" s="9" t="n">
        <v>142</v>
      </c>
      <c r="B15" s="9" t="s">
        <v>73</v>
      </c>
      <c r="C15" s="9" t="s">
        <v>74</v>
      </c>
      <c r="D15" s="9" t="s">
        <v>32</v>
      </c>
      <c r="E15" s="10" t="n">
        <v>680</v>
      </c>
      <c r="F15" s="11" t="s">
        <v>33</v>
      </c>
      <c r="G15" s="9" t="s">
        <v>44</v>
      </c>
      <c r="H15" s="12" t="n">
        <f aca="false">IF(D15="Consumables",Settings!$B$4,Settings!$B$3)</f>
        <v>0.15</v>
      </c>
      <c r="I15" s="13" t="n">
        <f aca="false">E15*Settings!$B$2*(1+H15)</f>
        <v>12871.72</v>
      </c>
      <c r="J15" s="14" t="n">
        <f aca="false">Settings!$B$5</f>
        <v>0.375</v>
      </c>
      <c r="K15" s="13" t="n">
        <f aca="false">CEILING(I15*(1+J15),Settings!$B$6)</f>
        <v>17700</v>
      </c>
      <c r="L15" s="13" t="n">
        <f aca="false">K15-I15</f>
        <v>4828.28</v>
      </c>
      <c r="M15" s="14" t="n">
        <f aca="false">IF(K15=0,0,L15/K15)</f>
        <v>0.27278418079096</v>
      </c>
      <c r="N15" s="15" t="s">
        <v>75</v>
      </c>
    </row>
    <row r="16" customFormat="false" ht="15" hidden="false" customHeight="false" outlineLevel="0" collapsed="false">
      <c r="A16" s="9" t="n">
        <v>160</v>
      </c>
      <c r="B16" s="9" t="s">
        <v>76</v>
      </c>
      <c r="C16" s="9" t="s">
        <v>77</v>
      </c>
      <c r="D16" s="9" t="s">
        <v>78</v>
      </c>
      <c r="E16" s="16" t="n">
        <v>2.5</v>
      </c>
      <c r="F16" s="11" t="s">
        <v>33</v>
      </c>
      <c r="G16" s="9" t="s">
        <v>79</v>
      </c>
      <c r="H16" s="12" t="n">
        <f aca="false">IF(D16="Consumables",Settings!$B$4,Settings!$B$3)</f>
        <v>0.3</v>
      </c>
      <c r="I16" s="13" t="n">
        <f aca="false">E16*Settings!$B$2*(1+H16)</f>
        <v>53.495</v>
      </c>
      <c r="J16" s="14" t="n">
        <f aca="false">Settings!$B$5</f>
        <v>0.375</v>
      </c>
      <c r="K16" s="13" t="n">
        <f aca="false">CEILING(I16*(1+J16),Settings!$B$6)</f>
        <v>100</v>
      </c>
      <c r="L16" s="13" t="n">
        <f aca="false">K16-I16</f>
        <v>46.505</v>
      </c>
      <c r="M16" s="14" t="n">
        <f aca="false">IF(K16=0,0,L16/K16)</f>
        <v>0.46505</v>
      </c>
      <c r="N16" s="15" t="s">
        <v>80</v>
      </c>
    </row>
    <row r="17" customFormat="false" ht="15" hidden="false" customHeight="false" outlineLevel="0" collapsed="false">
      <c r="A17" s="9" t="n">
        <v>161</v>
      </c>
      <c r="B17" s="9" t="s">
        <v>81</v>
      </c>
      <c r="C17" s="9" t="s">
        <v>82</v>
      </c>
      <c r="D17" s="9" t="s">
        <v>78</v>
      </c>
      <c r="E17" s="16" t="n">
        <v>10</v>
      </c>
      <c r="F17" s="17" t="s">
        <v>83</v>
      </c>
      <c r="G17" s="9" t="s">
        <v>84</v>
      </c>
      <c r="H17" s="12" t="n">
        <f aca="false">IF(D17="Consumables",Settings!$B$4,Settings!$B$3)</f>
        <v>0.3</v>
      </c>
      <c r="I17" s="13" t="n">
        <f aca="false">E17*Settings!$B$2*(1+H17)</f>
        <v>213.98</v>
      </c>
      <c r="J17" s="14" t="n">
        <f aca="false">Settings!$B$5</f>
        <v>0.375</v>
      </c>
      <c r="K17" s="13" t="n">
        <f aca="false">CEILING(I17*(1+J17),Settings!$B$6)</f>
        <v>300</v>
      </c>
      <c r="L17" s="13" t="n">
        <f aca="false">K17-I17</f>
        <v>86.02</v>
      </c>
      <c r="M17" s="14" t="n">
        <f aca="false">IF(K17=0,0,L17/K17)</f>
        <v>0.286733333333333</v>
      </c>
      <c r="N17" s="15" t="s">
        <v>85</v>
      </c>
    </row>
    <row r="18" customFormat="false" ht="15" hidden="false" customHeight="false" outlineLevel="0" collapsed="false">
      <c r="A18" s="9" t="n">
        <v>162</v>
      </c>
      <c r="B18" s="9" t="s">
        <v>86</v>
      </c>
      <c r="C18" s="9" t="s">
        <v>87</v>
      </c>
      <c r="D18" s="9" t="s">
        <v>78</v>
      </c>
      <c r="E18" s="16" t="n">
        <v>12</v>
      </c>
      <c r="F18" s="17" t="s">
        <v>83</v>
      </c>
      <c r="G18" s="9" t="s">
        <v>88</v>
      </c>
      <c r="H18" s="12" t="n">
        <f aca="false">IF(D18="Consumables",Settings!$B$4,Settings!$B$3)</f>
        <v>0.3</v>
      </c>
      <c r="I18" s="13" t="n">
        <f aca="false">E18*Settings!$B$2*(1+H18)</f>
        <v>256.776</v>
      </c>
      <c r="J18" s="14" t="n">
        <f aca="false">Settings!$B$5</f>
        <v>0.375</v>
      </c>
      <c r="K18" s="13" t="n">
        <f aca="false">CEILING(I18*(1+J18),Settings!$B$6)</f>
        <v>400</v>
      </c>
      <c r="L18" s="13" t="n">
        <f aca="false">K18-I18</f>
        <v>143.224</v>
      </c>
      <c r="M18" s="14" t="n">
        <f aca="false">IF(K18=0,0,L18/K18)</f>
        <v>0.35806</v>
      </c>
      <c r="N18" s="15" t="s">
        <v>89</v>
      </c>
    </row>
    <row r="19" customFormat="false" ht="15" hidden="false" customHeight="false" outlineLevel="0" collapsed="false">
      <c r="A19" s="9" t="n">
        <v>163</v>
      </c>
      <c r="B19" s="9" t="s">
        <v>90</v>
      </c>
      <c r="C19" s="9" t="s">
        <v>91</v>
      </c>
      <c r="D19" s="9" t="s">
        <v>78</v>
      </c>
      <c r="E19" s="16" t="n">
        <v>10</v>
      </c>
      <c r="F19" s="17" t="s">
        <v>83</v>
      </c>
      <c r="G19" s="9" t="s">
        <v>92</v>
      </c>
      <c r="H19" s="12" t="n">
        <f aca="false">IF(D19="Consumables",Settings!$B$4,Settings!$B$3)</f>
        <v>0.3</v>
      </c>
      <c r="I19" s="13" t="n">
        <f aca="false">E19*Settings!$B$2*(1+H19)</f>
        <v>213.98</v>
      </c>
      <c r="J19" s="14" t="n">
        <f aca="false">Settings!$B$5</f>
        <v>0.375</v>
      </c>
      <c r="K19" s="13" t="n">
        <f aca="false">CEILING(I19*(1+J19),Settings!$B$6)</f>
        <v>300</v>
      </c>
      <c r="L19" s="13" t="n">
        <f aca="false">K19-I19</f>
        <v>86.02</v>
      </c>
      <c r="M19" s="14" t="n">
        <f aca="false">IF(K19=0,0,L19/K19)</f>
        <v>0.286733333333333</v>
      </c>
      <c r="N19" s="15" t="s">
        <v>93</v>
      </c>
    </row>
    <row r="20" customFormat="false" ht="15" hidden="false" customHeight="false" outlineLevel="0" collapsed="false">
      <c r="A20" s="9" t="n">
        <v>164</v>
      </c>
      <c r="B20" s="9" t="s">
        <v>94</v>
      </c>
      <c r="C20" s="9" t="s">
        <v>95</v>
      </c>
      <c r="D20" s="9" t="s">
        <v>78</v>
      </c>
      <c r="E20" s="10" t="n">
        <v>80</v>
      </c>
      <c r="F20" s="11" t="s">
        <v>33</v>
      </c>
      <c r="G20" s="9" t="s">
        <v>96</v>
      </c>
      <c r="H20" s="12" t="n">
        <f aca="false">IF(D20="Consumables",Settings!$B$4,Settings!$B$3)</f>
        <v>0.3</v>
      </c>
      <c r="I20" s="13" t="n">
        <f aca="false">E20*Settings!$B$2*(1+H20)</f>
        <v>1711.84</v>
      </c>
      <c r="J20" s="14" t="n">
        <f aca="false">Settings!$B$5</f>
        <v>0.375</v>
      </c>
      <c r="K20" s="13" t="n">
        <f aca="false">CEILING(I20*(1+J20),Settings!$B$6)</f>
        <v>2400</v>
      </c>
      <c r="L20" s="13" t="n">
        <f aca="false">K20-I20</f>
        <v>688.16</v>
      </c>
      <c r="M20" s="14" t="n">
        <f aca="false">IF(K20=0,0,L20/K20)</f>
        <v>0.286733333333333</v>
      </c>
      <c r="N20" s="15" t="s">
        <v>97</v>
      </c>
    </row>
    <row r="21" customFormat="false" ht="15" hidden="false" customHeight="false" outlineLevel="0" collapsed="false">
      <c r="A21" s="9" t="n">
        <v>34</v>
      </c>
      <c r="B21" s="9" t="s">
        <v>98</v>
      </c>
      <c r="C21" s="9" t="s">
        <v>99</v>
      </c>
      <c r="D21" s="9" t="s">
        <v>100</v>
      </c>
      <c r="E21" s="10" t="n">
        <v>1500</v>
      </c>
      <c r="F21" s="11" t="s">
        <v>33</v>
      </c>
      <c r="G21" s="9" t="s">
        <v>101</v>
      </c>
      <c r="H21" s="12" t="n">
        <f aca="false">IF(D21="Consumables",Settings!$B$4,Settings!$B$3)</f>
        <v>0.15</v>
      </c>
      <c r="I21" s="13" t="n">
        <f aca="false">E21*Settings!$B$2*(1+H21)</f>
        <v>28393.5</v>
      </c>
      <c r="J21" s="14" t="n">
        <f aca="false">Settings!$B$5</f>
        <v>0.375</v>
      </c>
      <c r="K21" s="13" t="n">
        <f aca="false">CEILING(I21*(1+J21),Settings!$B$6)</f>
        <v>39050</v>
      </c>
      <c r="L21" s="13" t="n">
        <f aca="false">K21-I21</f>
        <v>10656.5</v>
      </c>
      <c r="M21" s="14" t="n">
        <f aca="false">IF(K21=0,0,L21/K21)</f>
        <v>0.272893725992318</v>
      </c>
      <c r="N21" s="15" t="s">
        <v>102</v>
      </c>
    </row>
    <row r="22" customFormat="false" ht="15" hidden="false" customHeight="false" outlineLevel="0" collapsed="false">
      <c r="A22" s="9" t="n">
        <v>35</v>
      </c>
      <c r="B22" s="9" t="s">
        <v>103</v>
      </c>
      <c r="C22" s="9" t="s">
        <v>104</v>
      </c>
      <c r="D22" s="9" t="s">
        <v>100</v>
      </c>
      <c r="E22" s="10" t="n">
        <v>850</v>
      </c>
      <c r="F22" s="11" t="s">
        <v>33</v>
      </c>
      <c r="G22" s="9" t="s">
        <v>101</v>
      </c>
      <c r="H22" s="12" t="n">
        <f aca="false">IF(D22="Consumables",Settings!$B$4,Settings!$B$3)</f>
        <v>0.15</v>
      </c>
      <c r="I22" s="13" t="n">
        <f aca="false">E22*Settings!$B$2*(1+H22)</f>
        <v>16089.65</v>
      </c>
      <c r="J22" s="14" t="n">
        <f aca="false">Settings!$B$5</f>
        <v>0.375</v>
      </c>
      <c r="K22" s="13" t="n">
        <f aca="false">CEILING(I22*(1+J22),Settings!$B$6)</f>
        <v>22150</v>
      </c>
      <c r="L22" s="13" t="n">
        <f aca="false">K22-I22</f>
        <v>6060.35</v>
      </c>
      <c r="M22" s="14" t="n">
        <f aca="false">IF(K22=0,0,L22/K22)</f>
        <v>0.273604966139955</v>
      </c>
      <c r="N22" s="15" t="s">
        <v>105</v>
      </c>
    </row>
    <row r="23" customFormat="false" ht="15" hidden="false" customHeight="false" outlineLevel="0" collapsed="false">
      <c r="A23" s="9" t="n">
        <v>36</v>
      </c>
      <c r="B23" s="9" t="s">
        <v>106</v>
      </c>
      <c r="C23" s="9" t="s">
        <v>107</v>
      </c>
      <c r="D23" s="9" t="s">
        <v>100</v>
      </c>
      <c r="E23" s="10" t="n">
        <v>2400</v>
      </c>
      <c r="F23" s="11" t="s">
        <v>33</v>
      </c>
      <c r="G23" s="9" t="s">
        <v>108</v>
      </c>
      <c r="H23" s="12" t="n">
        <f aca="false">IF(D23="Consumables",Settings!$B$4,Settings!$B$3)</f>
        <v>0.15</v>
      </c>
      <c r="I23" s="13" t="n">
        <f aca="false">E23*Settings!$B$2*(1+H23)</f>
        <v>45429.6</v>
      </c>
      <c r="J23" s="14" t="n">
        <f aca="false">Settings!$B$5</f>
        <v>0.375</v>
      </c>
      <c r="K23" s="13" t="n">
        <f aca="false">CEILING(I23*(1+J23),Settings!$B$6)</f>
        <v>62500</v>
      </c>
      <c r="L23" s="13" t="n">
        <f aca="false">K23-I23</f>
        <v>17070.4</v>
      </c>
      <c r="M23" s="14" t="n">
        <f aca="false">IF(K23=0,0,L23/K23)</f>
        <v>0.2731264</v>
      </c>
      <c r="N23" s="15" t="s">
        <v>109</v>
      </c>
    </row>
    <row r="24" customFormat="false" ht="15" hidden="false" customHeight="false" outlineLevel="0" collapsed="false">
      <c r="A24" s="9" t="n">
        <v>37</v>
      </c>
      <c r="B24" s="9" t="s">
        <v>110</v>
      </c>
      <c r="C24" s="9" t="s">
        <v>111</v>
      </c>
      <c r="D24" s="9" t="s">
        <v>100</v>
      </c>
      <c r="E24" s="10" t="n">
        <v>800</v>
      </c>
      <c r="F24" s="18" t="s">
        <v>112</v>
      </c>
      <c r="G24" s="9" t="s">
        <v>101</v>
      </c>
      <c r="H24" s="12" t="n">
        <f aca="false">IF(D24="Consumables",Settings!$B$4,Settings!$B$3)</f>
        <v>0.15</v>
      </c>
      <c r="I24" s="13" t="n">
        <f aca="false">E24*Settings!$B$2*(1+H24)</f>
        <v>15143.2</v>
      </c>
      <c r="J24" s="14" t="n">
        <f aca="false">Settings!$B$5</f>
        <v>0.375</v>
      </c>
      <c r="K24" s="13" t="n">
        <f aca="false">CEILING(I24*(1+J24),Settings!$B$6)</f>
        <v>20850</v>
      </c>
      <c r="L24" s="13" t="n">
        <f aca="false">K24-I24</f>
        <v>5706.8</v>
      </c>
      <c r="M24" s="14" t="n">
        <f aca="false">IF(K24=0,0,L24/K24)</f>
        <v>0.273707434052758</v>
      </c>
      <c r="N24" s="15" t="s">
        <v>113</v>
      </c>
    </row>
    <row r="25" customFormat="false" ht="15" hidden="false" customHeight="false" outlineLevel="0" collapsed="false">
      <c r="A25" s="9" t="n">
        <v>38</v>
      </c>
      <c r="B25" s="9" t="s">
        <v>114</v>
      </c>
      <c r="C25" s="9" t="s">
        <v>115</v>
      </c>
      <c r="D25" s="9" t="s">
        <v>100</v>
      </c>
      <c r="E25" s="10" t="n">
        <v>1300</v>
      </c>
      <c r="F25" s="11" t="s">
        <v>33</v>
      </c>
      <c r="G25" s="9" t="s">
        <v>101</v>
      </c>
      <c r="H25" s="12" t="n">
        <f aca="false">IF(D25="Consumables",Settings!$B$4,Settings!$B$3)</f>
        <v>0.15</v>
      </c>
      <c r="I25" s="13" t="n">
        <f aca="false">E25*Settings!$B$2*(1+H25)</f>
        <v>24607.7</v>
      </c>
      <c r="J25" s="14" t="n">
        <f aca="false">Settings!$B$5</f>
        <v>0.375</v>
      </c>
      <c r="K25" s="13" t="n">
        <f aca="false">CEILING(I25*(1+J25),Settings!$B$6)</f>
        <v>33850</v>
      </c>
      <c r="L25" s="13" t="n">
        <f aca="false">K25-I25</f>
        <v>9242.3</v>
      </c>
      <c r="M25" s="14" t="n">
        <f aca="false">IF(K25=0,0,L25/K25)</f>
        <v>0.273036927621861</v>
      </c>
      <c r="N25" s="15" t="s">
        <v>116</v>
      </c>
    </row>
    <row r="26" customFormat="false" ht="15" hidden="false" customHeight="false" outlineLevel="0" collapsed="false">
      <c r="A26" s="9" t="n">
        <v>39</v>
      </c>
      <c r="B26" s="9" t="s">
        <v>117</v>
      </c>
      <c r="C26" s="9" t="s">
        <v>118</v>
      </c>
      <c r="D26" s="9" t="s">
        <v>100</v>
      </c>
      <c r="E26" s="10" t="n">
        <v>900</v>
      </c>
      <c r="F26" s="11" t="s">
        <v>33</v>
      </c>
      <c r="G26" s="9" t="s">
        <v>101</v>
      </c>
      <c r="H26" s="12" t="n">
        <f aca="false">IF(D26="Consumables",Settings!$B$4,Settings!$B$3)</f>
        <v>0.15</v>
      </c>
      <c r="I26" s="13" t="n">
        <f aca="false">E26*Settings!$B$2*(1+H26)</f>
        <v>17036.1</v>
      </c>
      <c r="J26" s="14" t="n">
        <f aca="false">Settings!$B$5</f>
        <v>0.375</v>
      </c>
      <c r="K26" s="13" t="n">
        <f aca="false">CEILING(I26*(1+J26),Settings!$B$6)</f>
        <v>23450</v>
      </c>
      <c r="L26" s="13" t="n">
        <f aca="false">K26-I26</f>
        <v>6413.9</v>
      </c>
      <c r="M26" s="14" t="n">
        <f aca="false">IF(K26=0,0,L26/K26)</f>
        <v>0.273513859275053</v>
      </c>
      <c r="N26" s="15" t="s">
        <v>119</v>
      </c>
    </row>
    <row r="27" customFormat="false" ht="15" hidden="false" customHeight="false" outlineLevel="0" collapsed="false">
      <c r="A27" s="9" t="n">
        <v>40</v>
      </c>
      <c r="B27" s="9" t="s">
        <v>120</v>
      </c>
      <c r="C27" s="9" t="s">
        <v>121</v>
      </c>
      <c r="D27" s="9" t="s">
        <v>100</v>
      </c>
      <c r="E27" s="10" t="n">
        <v>650</v>
      </c>
      <c r="F27" s="11" t="s">
        <v>33</v>
      </c>
      <c r="G27" s="9" t="s">
        <v>101</v>
      </c>
      <c r="H27" s="12" t="n">
        <f aca="false">IF(D27="Consumables",Settings!$B$4,Settings!$B$3)</f>
        <v>0.15</v>
      </c>
      <c r="I27" s="13" t="n">
        <f aca="false">E27*Settings!$B$2*(1+H27)</f>
        <v>12303.85</v>
      </c>
      <c r="J27" s="14" t="n">
        <f aca="false">Settings!$B$5</f>
        <v>0.375</v>
      </c>
      <c r="K27" s="13" t="n">
        <f aca="false">CEILING(I27*(1+J27),Settings!$B$6)</f>
        <v>16950</v>
      </c>
      <c r="L27" s="13" t="n">
        <f aca="false">K27-I27</f>
        <v>4646.15</v>
      </c>
      <c r="M27" s="14" t="n">
        <f aca="false">IF(K27=0,0,L27/K27)</f>
        <v>0.274109144542773</v>
      </c>
      <c r="N27" s="15" t="s">
        <v>122</v>
      </c>
    </row>
    <row r="28" customFormat="false" ht="15" hidden="false" customHeight="false" outlineLevel="0" collapsed="false">
      <c r="A28" s="9" t="n">
        <v>100</v>
      </c>
      <c r="B28" s="9" t="s">
        <v>123</v>
      </c>
      <c r="C28" s="9" t="s">
        <v>124</v>
      </c>
      <c r="D28" s="9" t="s">
        <v>100</v>
      </c>
      <c r="E28" s="10" t="n">
        <v>750</v>
      </c>
      <c r="F28" s="11" t="s">
        <v>33</v>
      </c>
      <c r="G28" s="9" t="s">
        <v>101</v>
      </c>
      <c r="H28" s="12" t="n">
        <f aca="false">IF(D28="Consumables",Settings!$B$4,Settings!$B$3)</f>
        <v>0.15</v>
      </c>
      <c r="I28" s="13" t="n">
        <f aca="false">E28*Settings!$B$2*(1+H28)</f>
        <v>14196.75</v>
      </c>
      <c r="J28" s="14" t="n">
        <f aca="false">Settings!$B$5</f>
        <v>0.375</v>
      </c>
      <c r="K28" s="13" t="n">
        <f aca="false">CEILING(I28*(1+J28),Settings!$B$6)</f>
        <v>19550</v>
      </c>
      <c r="L28" s="13" t="n">
        <f aca="false">K28-I28</f>
        <v>5353.25</v>
      </c>
      <c r="M28" s="14" t="n">
        <f aca="false">IF(K28=0,0,L28/K28)</f>
        <v>0.273823529411765</v>
      </c>
      <c r="N28" s="15" t="s">
        <v>125</v>
      </c>
    </row>
    <row r="29" customFormat="false" ht="15" hidden="false" customHeight="false" outlineLevel="0" collapsed="false">
      <c r="A29" s="9" t="n">
        <v>7</v>
      </c>
      <c r="B29" s="9" t="s">
        <v>126</v>
      </c>
      <c r="C29" s="9" t="s">
        <v>127</v>
      </c>
      <c r="D29" s="9" t="s">
        <v>128</v>
      </c>
      <c r="E29" s="10" t="n">
        <v>2600</v>
      </c>
      <c r="F29" s="11" t="s">
        <v>33</v>
      </c>
      <c r="G29" s="9" t="s">
        <v>108</v>
      </c>
      <c r="H29" s="12" t="n">
        <f aca="false">IF(D29="Consumables",Settings!$B$4,Settings!$B$3)</f>
        <v>0.15</v>
      </c>
      <c r="I29" s="13" t="n">
        <f aca="false">E29*Settings!$B$2*(1+H29)</f>
        <v>49215.4</v>
      </c>
      <c r="J29" s="14" t="n">
        <f aca="false">Settings!$B$5</f>
        <v>0.375</v>
      </c>
      <c r="K29" s="13" t="n">
        <f aca="false">CEILING(I29*(1+J29),Settings!$B$6)</f>
        <v>67700</v>
      </c>
      <c r="L29" s="13" t="n">
        <f aca="false">K29-I29</f>
        <v>18484.6</v>
      </c>
      <c r="M29" s="14" t="n">
        <f aca="false">IF(K29=0,0,L29/K29)</f>
        <v>0.273036927621861</v>
      </c>
      <c r="N29" s="15" t="s">
        <v>129</v>
      </c>
    </row>
    <row r="30" customFormat="false" ht="15" hidden="false" customHeight="false" outlineLevel="0" collapsed="false">
      <c r="A30" s="9" t="n">
        <v>8</v>
      </c>
      <c r="B30" s="9" t="s">
        <v>130</v>
      </c>
      <c r="C30" s="9" t="s">
        <v>131</v>
      </c>
      <c r="D30" s="9" t="s">
        <v>128</v>
      </c>
      <c r="E30" s="10" t="n">
        <v>1650</v>
      </c>
      <c r="F30" s="18" t="s">
        <v>112</v>
      </c>
      <c r="G30" s="9" t="s">
        <v>132</v>
      </c>
      <c r="H30" s="12" t="n">
        <f aca="false">IF(D30="Consumables",Settings!$B$4,Settings!$B$3)</f>
        <v>0.15</v>
      </c>
      <c r="I30" s="13" t="n">
        <f aca="false">E30*Settings!$B$2*(1+H30)</f>
        <v>31232.85</v>
      </c>
      <c r="J30" s="14" t="n">
        <f aca="false">Settings!$B$5</f>
        <v>0.375</v>
      </c>
      <c r="K30" s="13" t="n">
        <f aca="false">CEILING(I30*(1+J30),Settings!$B$6)</f>
        <v>42950</v>
      </c>
      <c r="L30" s="13" t="n">
        <f aca="false">K30-I30</f>
        <v>11717.15</v>
      </c>
      <c r="M30" s="14" t="n">
        <f aca="false">IF(K30=0,0,L30/K30)</f>
        <v>0.27280908032596</v>
      </c>
      <c r="N30" s="15" t="s">
        <v>133</v>
      </c>
    </row>
    <row r="31" customFormat="false" ht="15" hidden="false" customHeight="false" outlineLevel="0" collapsed="false">
      <c r="A31" s="9" t="n">
        <v>9</v>
      </c>
      <c r="B31" s="9" t="s">
        <v>134</v>
      </c>
      <c r="C31" s="9" t="s">
        <v>135</v>
      </c>
      <c r="D31" s="9" t="s">
        <v>128</v>
      </c>
      <c r="E31" s="10" t="n">
        <v>1650</v>
      </c>
      <c r="F31" s="18" t="s">
        <v>112</v>
      </c>
      <c r="G31" s="9" t="s">
        <v>132</v>
      </c>
      <c r="H31" s="12" t="n">
        <f aca="false">IF(D31="Consumables",Settings!$B$4,Settings!$B$3)</f>
        <v>0.15</v>
      </c>
      <c r="I31" s="13" t="n">
        <f aca="false">E31*Settings!$B$2*(1+H31)</f>
        <v>31232.85</v>
      </c>
      <c r="J31" s="14" t="n">
        <f aca="false">Settings!$B$5</f>
        <v>0.375</v>
      </c>
      <c r="K31" s="13" t="n">
        <f aca="false">CEILING(I31*(1+J31),Settings!$B$6)</f>
        <v>42950</v>
      </c>
      <c r="L31" s="13" t="n">
        <f aca="false">K31-I31</f>
        <v>11717.15</v>
      </c>
      <c r="M31" s="14" t="n">
        <f aca="false">IF(K31=0,0,L31/K31)</f>
        <v>0.27280908032596</v>
      </c>
      <c r="N31" s="15" t="s">
        <v>136</v>
      </c>
    </row>
    <row r="32" customFormat="false" ht="15" hidden="false" customHeight="false" outlineLevel="0" collapsed="false">
      <c r="A32" s="9" t="n">
        <v>10</v>
      </c>
      <c r="B32" s="9" t="s">
        <v>137</v>
      </c>
      <c r="C32" s="9" t="s">
        <v>138</v>
      </c>
      <c r="D32" s="9" t="s">
        <v>128</v>
      </c>
      <c r="E32" s="10" t="n">
        <v>1900</v>
      </c>
      <c r="F32" s="11" t="s">
        <v>33</v>
      </c>
      <c r="G32" s="9" t="s">
        <v>139</v>
      </c>
      <c r="H32" s="12" t="n">
        <f aca="false">IF(D32="Consumables",Settings!$B$4,Settings!$B$3)</f>
        <v>0.15</v>
      </c>
      <c r="I32" s="13" t="n">
        <f aca="false">E32*Settings!$B$2*(1+H32)</f>
        <v>35965.1</v>
      </c>
      <c r="J32" s="14" t="n">
        <f aca="false">Settings!$B$5</f>
        <v>0.375</v>
      </c>
      <c r="K32" s="13" t="n">
        <f aca="false">CEILING(I32*(1+J32),Settings!$B$6)</f>
        <v>49500</v>
      </c>
      <c r="L32" s="13" t="n">
        <f aca="false">K32-I32</f>
        <v>13534.9</v>
      </c>
      <c r="M32" s="14" t="n">
        <f aca="false">IF(K32=0,0,L32/K32)</f>
        <v>0.273432323232323</v>
      </c>
      <c r="N32" s="15" t="s">
        <v>140</v>
      </c>
    </row>
    <row r="33" customFormat="false" ht="15" hidden="false" customHeight="false" outlineLevel="0" collapsed="false">
      <c r="A33" s="9" t="n">
        <v>11</v>
      </c>
      <c r="B33" s="9" t="s">
        <v>141</v>
      </c>
      <c r="C33" s="9" t="s">
        <v>142</v>
      </c>
      <c r="D33" s="9" t="s">
        <v>128</v>
      </c>
      <c r="E33" s="10" t="n">
        <v>1650</v>
      </c>
      <c r="F33" s="18" t="s">
        <v>112</v>
      </c>
      <c r="G33" s="9" t="s">
        <v>132</v>
      </c>
      <c r="H33" s="12" t="n">
        <f aca="false">IF(D33="Consumables",Settings!$B$4,Settings!$B$3)</f>
        <v>0.15</v>
      </c>
      <c r="I33" s="13" t="n">
        <f aca="false">E33*Settings!$B$2*(1+H33)</f>
        <v>31232.85</v>
      </c>
      <c r="J33" s="14" t="n">
        <f aca="false">Settings!$B$5</f>
        <v>0.375</v>
      </c>
      <c r="K33" s="13" t="n">
        <f aca="false">CEILING(I33*(1+J33),Settings!$B$6)</f>
        <v>42950</v>
      </c>
      <c r="L33" s="13" t="n">
        <f aca="false">K33-I33</f>
        <v>11717.15</v>
      </c>
      <c r="M33" s="14" t="n">
        <f aca="false">IF(K33=0,0,L33/K33)</f>
        <v>0.27280908032596</v>
      </c>
      <c r="N33" s="15" t="s">
        <v>143</v>
      </c>
    </row>
    <row r="34" customFormat="false" ht="15" hidden="false" customHeight="false" outlineLevel="0" collapsed="false">
      <c r="A34" s="9" t="n">
        <v>12</v>
      </c>
      <c r="B34" s="9" t="s">
        <v>144</v>
      </c>
      <c r="C34" s="9" t="s">
        <v>145</v>
      </c>
      <c r="D34" s="9" t="s">
        <v>128</v>
      </c>
      <c r="E34" s="10" t="n">
        <v>1900</v>
      </c>
      <c r="F34" s="11" t="s">
        <v>33</v>
      </c>
      <c r="G34" s="9" t="s">
        <v>139</v>
      </c>
      <c r="H34" s="12" t="n">
        <f aca="false">IF(D34="Consumables",Settings!$B$4,Settings!$B$3)</f>
        <v>0.15</v>
      </c>
      <c r="I34" s="13" t="n">
        <f aca="false">E34*Settings!$B$2*(1+H34)</f>
        <v>35965.1</v>
      </c>
      <c r="J34" s="14" t="n">
        <f aca="false">Settings!$B$5</f>
        <v>0.375</v>
      </c>
      <c r="K34" s="13" t="n">
        <f aca="false">CEILING(I34*(1+J34),Settings!$B$6)</f>
        <v>49500</v>
      </c>
      <c r="L34" s="13" t="n">
        <f aca="false">K34-I34</f>
        <v>13534.9</v>
      </c>
      <c r="M34" s="14" t="n">
        <f aca="false">IF(K34=0,0,L34/K34)</f>
        <v>0.273432323232323</v>
      </c>
      <c r="N34" s="15" t="s">
        <v>146</v>
      </c>
    </row>
    <row r="35" customFormat="false" ht="15" hidden="false" customHeight="false" outlineLevel="0" collapsed="false">
      <c r="A35" s="9" t="n">
        <v>13</v>
      </c>
      <c r="B35" s="9" t="s">
        <v>147</v>
      </c>
      <c r="C35" s="9" t="s">
        <v>148</v>
      </c>
      <c r="D35" s="9" t="s">
        <v>128</v>
      </c>
      <c r="E35" s="10" t="n">
        <v>1450</v>
      </c>
      <c r="F35" s="18" t="s">
        <v>112</v>
      </c>
      <c r="G35" s="9" t="s">
        <v>132</v>
      </c>
      <c r="H35" s="12" t="n">
        <f aca="false">IF(D35="Consumables",Settings!$B$4,Settings!$B$3)</f>
        <v>0.15</v>
      </c>
      <c r="I35" s="13" t="n">
        <f aca="false">E35*Settings!$B$2*(1+H35)</f>
        <v>27447.05</v>
      </c>
      <c r="J35" s="14" t="n">
        <f aca="false">Settings!$B$5</f>
        <v>0.375</v>
      </c>
      <c r="K35" s="13" t="n">
        <f aca="false">CEILING(I35*(1+J35),Settings!$B$6)</f>
        <v>37750</v>
      </c>
      <c r="L35" s="13" t="n">
        <f aca="false">K35-I35</f>
        <v>10302.95</v>
      </c>
      <c r="M35" s="14" t="n">
        <f aca="false">IF(K35=0,0,L35/K35)</f>
        <v>0.27292582781457</v>
      </c>
      <c r="N35" s="15" t="s">
        <v>149</v>
      </c>
    </row>
    <row r="36" customFormat="false" ht="15" hidden="false" customHeight="false" outlineLevel="0" collapsed="false">
      <c r="A36" s="9" t="n">
        <v>14</v>
      </c>
      <c r="B36" s="9" t="s">
        <v>150</v>
      </c>
      <c r="C36" s="9" t="s">
        <v>151</v>
      </c>
      <c r="D36" s="9" t="s">
        <v>128</v>
      </c>
      <c r="E36" s="10" t="n">
        <v>800</v>
      </c>
      <c r="F36" s="18" t="s">
        <v>112</v>
      </c>
      <c r="G36" s="9" t="s">
        <v>132</v>
      </c>
      <c r="H36" s="12" t="n">
        <f aca="false">IF(D36="Consumables",Settings!$B$4,Settings!$B$3)</f>
        <v>0.15</v>
      </c>
      <c r="I36" s="13" t="n">
        <f aca="false">E36*Settings!$B$2*(1+H36)</f>
        <v>15143.2</v>
      </c>
      <c r="J36" s="14" t="n">
        <f aca="false">Settings!$B$5</f>
        <v>0.375</v>
      </c>
      <c r="K36" s="13" t="n">
        <f aca="false">CEILING(I36*(1+J36),Settings!$B$6)</f>
        <v>20850</v>
      </c>
      <c r="L36" s="13" t="n">
        <f aca="false">K36-I36</f>
        <v>5706.8</v>
      </c>
      <c r="M36" s="14" t="n">
        <f aca="false">IF(K36=0,0,L36/K36)</f>
        <v>0.273707434052758</v>
      </c>
      <c r="N36" s="15" t="s">
        <v>152</v>
      </c>
    </row>
    <row r="37" customFormat="false" ht="15" hidden="false" customHeight="false" outlineLevel="0" collapsed="false">
      <c r="A37" s="9" t="n">
        <v>15</v>
      </c>
      <c r="B37" s="9" t="s">
        <v>153</v>
      </c>
      <c r="C37" s="9" t="s">
        <v>154</v>
      </c>
      <c r="D37" s="9" t="s">
        <v>128</v>
      </c>
      <c r="E37" s="10" t="n">
        <v>1650</v>
      </c>
      <c r="F37" s="18" t="s">
        <v>112</v>
      </c>
      <c r="G37" s="9" t="s">
        <v>132</v>
      </c>
      <c r="H37" s="12" t="n">
        <f aca="false">IF(D37="Consumables",Settings!$B$4,Settings!$B$3)</f>
        <v>0.15</v>
      </c>
      <c r="I37" s="13" t="n">
        <f aca="false">E37*Settings!$B$2*(1+H37)</f>
        <v>31232.85</v>
      </c>
      <c r="J37" s="14" t="n">
        <f aca="false">Settings!$B$5</f>
        <v>0.375</v>
      </c>
      <c r="K37" s="13" t="n">
        <f aca="false">CEILING(I37*(1+J37),Settings!$B$6)</f>
        <v>42950</v>
      </c>
      <c r="L37" s="13" t="n">
        <f aca="false">K37-I37</f>
        <v>11717.15</v>
      </c>
      <c r="M37" s="14" t="n">
        <f aca="false">IF(K37=0,0,L37/K37)</f>
        <v>0.27280908032596</v>
      </c>
      <c r="N37" s="15" t="s">
        <v>155</v>
      </c>
    </row>
    <row r="38" customFormat="false" ht="15" hidden="false" customHeight="false" outlineLevel="0" collapsed="false">
      <c r="A38" s="9" t="n">
        <v>16</v>
      </c>
      <c r="B38" s="9" t="s">
        <v>156</v>
      </c>
      <c r="C38" s="9" t="s">
        <v>157</v>
      </c>
      <c r="D38" s="9" t="s">
        <v>128</v>
      </c>
      <c r="E38" s="10" t="n">
        <v>850</v>
      </c>
      <c r="F38" s="18" t="s">
        <v>112</v>
      </c>
      <c r="G38" s="9" t="s">
        <v>132</v>
      </c>
      <c r="H38" s="12" t="n">
        <f aca="false">IF(D38="Consumables",Settings!$B$4,Settings!$B$3)</f>
        <v>0.15</v>
      </c>
      <c r="I38" s="13" t="n">
        <f aca="false">E38*Settings!$B$2*(1+H38)</f>
        <v>16089.65</v>
      </c>
      <c r="J38" s="14" t="n">
        <f aca="false">Settings!$B$5</f>
        <v>0.375</v>
      </c>
      <c r="K38" s="13" t="n">
        <f aca="false">CEILING(I38*(1+J38),Settings!$B$6)</f>
        <v>22150</v>
      </c>
      <c r="L38" s="13" t="n">
        <f aca="false">K38-I38</f>
        <v>6060.35</v>
      </c>
      <c r="M38" s="14" t="n">
        <f aca="false">IF(K38=0,0,L38/K38)</f>
        <v>0.273604966139955</v>
      </c>
      <c r="N38" s="15" t="s">
        <v>158</v>
      </c>
    </row>
    <row r="39" customFormat="false" ht="15" hidden="false" customHeight="false" outlineLevel="0" collapsed="false">
      <c r="A39" s="9" t="n">
        <v>18</v>
      </c>
      <c r="B39" s="9" t="s">
        <v>159</v>
      </c>
      <c r="C39" s="9" t="s">
        <v>160</v>
      </c>
      <c r="D39" s="9" t="s">
        <v>128</v>
      </c>
      <c r="E39" s="10" t="n">
        <v>950</v>
      </c>
      <c r="F39" s="18" t="s">
        <v>112</v>
      </c>
      <c r="G39" s="9" t="s">
        <v>132</v>
      </c>
      <c r="H39" s="12" t="n">
        <f aca="false">IF(D39="Consumables",Settings!$B$4,Settings!$B$3)</f>
        <v>0.15</v>
      </c>
      <c r="I39" s="13" t="n">
        <f aca="false">E39*Settings!$B$2*(1+H39)</f>
        <v>17982.55</v>
      </c>
      <c r="J39" s="14" t="n">
        <f aca="false">Settings!$B$5</f>
        <v>0.375</v>
      </c>
      <c r="K39" s="13" t="n">
        <f aca="false">CEILING(I39*(1+J39),Settings!$B$6)</f>
        <v>24750</v>
      </c>
      <c r="L39" s="13" t="n">
        <f aca="false">K39-I39</f>
        <v>6767.45</v>
      </c>
      <c r="M39" s="14" t="n">
        <f aca="false">IF(K39=0,0,L39/K39)</f>
        <v>0.273432323232323</v>
      </c>
      <c r="N39" s="15" t="s">
        <v>161</v>
      </c>
    </row>
    <row r="40" customFormat="false" ht="15" hidden="false" customHeight="false" outlineLevel="0" collapsed="false">
      <c r="A40" s="9" t="n">
        <v>19</v>
      </c>
      <c r="B40" s="9" t="s">
        <v>162</v>
      </c>
      <c r="C40" s="9" t="s">
        <v>163</v>
      </c>
      <c r="D40" s="9" t="s">
        <v>128</v>
      </c>
      <c r="E40" s="10" t="n">
        <v>1750</v>
      </c>
      <c r="F40" s="18" t="s">
        <v>112</v>
      </c>
      <c r="G40" s="9" t="s">
        <v>132</v>
      </c>
      <c r="H40" s="12" t="n">
        <f aca="false">IF(D40="Consumables",Settings!$B$4,Settings!$B$3)</f>
        <v>0.15</v>
      </c>
      <c r="I40" s="13" t="n">
        <f aca="false">E40*Settings!$B$2*(1+H40)</f>
        <v>33125.75</v>
      </c>
      <c r="J40" s="14" t="n">
        <f aca="false">Settings!$B$5</f>
        <v>0.375</v>
      </c>
      <c r="K40" s="13" t="n">
        <f aca="false">CEILING(I40*(1+J40),Settings!$B$6)</f>
        <v>45550</v>
      </c>
      <c r="L40" s="13" t="n">
        <f aca="false">K40-I40</f>
        <v>12424.25</v>
      </c>
      <c r="M40" s="14" t="n">
        <f aca="false">IF(K40=0,0,L40/K40)</f>
        <v>0.272760702524698</v>
      </c>
      <c r="N40" s="15" t="s">
        <v>164</v>
      </c>
    </row>
    <row r="41" customFormat="false" ht="15" hidden="false" customHeight="false" outlineLevel="0" collapsed="false">
      <c r="A41" s="9" t="n">
        <v>20</v>
      </c>
      <c r="B41" s="9" t="s">
        <v>165</v>
      </c>
      <c r="C41" s="9" t="s">
        <v>166</v>
      </c>
      <c r="D41" s="9" t="s">
        <v>128</v>
      </c>
      <c r="E41" s="10" t="n">
        <v>1550</v>
      </c>
      <c r="F41" s="18" t="s">
        <v>112</v>
      </c>
      <c r="G41" s="9" t="s">
        <v>132</v>
      </c>
      <c r="H41" s="12" t="n">
        <f aca="false">IF(D41="Consumables",Settings!$B$4,Settings!$B$3)</f>
        <v>0.15</v>
      </c>
      <c r="I41" s="13" t="n">
        <f aca="false">E41*Settings!$B$2*(1+H41)</f>
        <v>29339.95</v>
      </c>
      <c r="J41" s="14" t="n">
        <f aca="false">Settings!$B$5</f>
        <v>0.375</v>
      </c>
      <c r="K41" s="13" t="n">
        <f aca="false">CEILING(I41*(1+J41),Settings!$B$6)</f>
        <v>40350</v>
      </c>
      <c r="L41" s="13" t="n">
        <f aca="false">K41-I41</f>
        <v>11010.05</v>
      </c>
      <c r="M41" s="14" t="n">
        <f aca="false">IF(K41=0,0,L41/K41)</f>
        <v>0.272863692688972</v>
      </c>
      <c r="N41" s="15" t="s">
        <v>167</v>
      </c>
    </row>
    <row r="42" customFormat="false" ht="15" hidden="false" customHeight="false" outlineLevel="0" collapsed="false">
      <c r="A42" s="9" t="n">
        <v>21</v>
      </c>
      <c r="B42" s="9" t="s">
        <v>168</v>
      </c>
      <c r="C42" s="9" t="s">
        <v>169</v>
      </c>
      <c r="D42" s="9" t="s">
        <v>128</v>
      </c>
      <c r="E42" s="10" t="n">
        <v>1450</v>
      </c>
      <c r="F42" s="18" t="s">
        <v>112</v>
      </c>
      <c r="G42" s="9" t="s">
        <v>132</v>
      </c>
      <c r="H42" s="12" t="n">
        <f aca="false">IF(D42="Consumables",Settings!$B$4,Settings!$B$3)</f>
        <v>0.15</v>
      </c>
      <c r="I42" s="13" t="n">
        <f aca="false">E42*Settings!$B$2*(1+H42)</f>
        <v>27447.05</v>
      </c>
      <c r="J42" s="14" t="n">
        <f aca="false">Settings!$B$5</f>
        <v>0.375</v>
      </c>
      <c r="K42" s="13" t="n">
        <f aca="false">CEILING(I42*(1+J42),Settings!$B$6)</f>
        <v>37750</v>
      </c>
      <c r="L42" s="13" t="n">
        <f aca="false">K42-I42</f>
        <v>10302.95</v>
      </c>
      <c r="M42" s="14" t="n">
        <f aca="false">IF(K42=0,0,L42/K42)</f>
        <v>0.27292582781457</v>
      </c>
      <c r="N42" s="15" t="s">
        <v>170</v>
      </c>
    </row>
    <row r="43" customFormat="false" ht="15" hidden="false" customHeight="false" outlineLevel="0" collapsed="false">
      <c r="A43" s="9" t="n">
        <v>22</v>
      </c>
      <c r="B43" s="9" t="s">
        <v>171</v>
      </c>
      <c r="C43" s="9" t="s">
        <v>172</v>
      </c>
      <c r="D43" s="9" t="s">
        <v>128</v>
      </c>
      <c r="E43" s="10" t="n">
        <v>800</v>
      </c>
      <c r="F43" s="18" t="s">
        <v>112</v>
      </c>
      <c r="G43" s="9" t="s">
        <v>132</v>
      </c>
      <c r="H43" s="12" t="n">
        <f aca="false">IF(D43="Consumables",Settings!$B$4,Settings!$B$3)</f>
        <v>0.15</v>
      </c>
      <c r="I43" s="13" t="n">
        <f aca="false">E43*Settings!$B$2*(1+H43)</f>
        <v>15143.2</v>
      </c>
      <c r="J43" s="14" t="n">
        <f aca="false">Settings!$B$5</f>
        <v>0.375</v>
      </c>
      <c r="K43" s="13" t="n">
        <f aca="false">CEILING(I43*(1+J43),Settings!$B$6)</f>
        <v>20850</v>
      </c>
      <c r="L43" s="13" t="n">
        <f aca="false">K43-I43</f>
        <v>5706.8</v>
      </c>
      <c r="M43" s="14" t="n">
        <f aca="false">IF(K43=0,0,L43/K43)</f>
        <v>0.273707434052758</v>
      </c>
      <c r="N43" s="15" t="s">
        <v>173</v>
      </c>
    </row>
    <row r="44" customFormat="false" ht="15" hidden="false" customHeight="false" outlineLevel="0" collapsed="false">
      <c r="A44" s="9" t="n">
        <v>23</v>
      </c>
      <c r="B44" s="9" t="s">
        <v>174</v>
      </c>
      <c r="C44" s="9" t="s">
        <v>175</v>
      </c>
      <c r="D44" s="9" t="s">
        <v>128</v>
      </c>
      <c r="E44" s="10" t="n">
        <v>1850</v>
      </c>
      <c r="F44" s="11" t="s">
        <v>33</v>
      </c>
      <c r="G44" s="9" t="s">
        <v>132</v>
      </c>
      <c r="H44" s="12" t="n">
        <f aca="false">IF(D44="Consumables",Settings!$B$4,Settings!$B$3)</f>
        <v>0.15</v>
      </c>
      <c r="I44" s="13" t="n">
        <f aca="false">E44*Settings!$B$2*(1+H44)</f>
        <v>35018.65</v>
      </c>
      <c r="J44" s="14" t="n">
        <f aca="false">Settings!$B$5</f>
        <v>0.375</v>
      </c>
      <c r="K44" s="13" t="n">
        <f aca="false">CEILING(I44*(1+J44),Settings!$B$6)</f>
        <v>48200</v>
      </c>
      <c r="L44" s="13" t="n">
        <f aca="false">K44-I44</f>
        <v>13181.35</v>
      </c>
      <c r="M44" s="14" t="n">
        <f aca="false">IF(K44=0,0,L44/K44)</f>
        <v>0.273471991701245</v>
      </c>
      <c r="N44" s="15" t="s">
        <v>176</v>
      </c>
    </row>
    <row r="45" customFormat="false" ht="15" hidden="false" customHeight="false" outlineLevel="0" collapsed="false">
      <c r="A45" s="9" t="n">
        <v>24</v>
      </c>
      <c r="B45" s="9" t="s">
        <v>177</v>
      </c>
      <c r="C45" s="9" t="s">
        <v>178</v>
      </c>
      <c r="D45" s="9" t="s">
        <v>128</v>
      </c>
      <c r="E45" s="10" t="n">
        <v>750</v>
      </c>
      <c r="F45" s="18" t="s">
        <v>112</v>
      </c>
      <c r="G45" s="9" t="s">
        <v>132</v>
      </c>
      <c r="H45" s="12" t="n">
        <f aca="false">IF(D45="Consumables",Settings!$B$4,Settings!$B$3)</f>
        <v>0.15</v>
      </c>
      <c r="I45" s="13" t="n">
        <f aca="false">E45*Settings!$B$2*(1+H45)</f>
        <v>14196.75</v>
      </c>
      <c r="J45" s="14" t="n">
        <f aca="false">Settings!$B$5</f>
        <v>0.375</v>
      </c>
      <c r="K45" s="13" t="n">
        <f aca="false">CEILING(I45*(1+J45),Settings!$B$6)</f>
        <v>19550</v>
      </c>
      <c r="L45" s="13" t="n">
        <f aca="false">K45-I45</f>
        <v>5353.25</v>
      </c>
      <c r="M45" s="14" t="n">
        <f aca="false">IF(K45=0,0,L45/K45)</f>
        <v>0.273823529411765</v>
      </c>
      <c r="N45" s="15" t="s">
        <v>179</v>
      </c>
    </row>
    <row r="46" customFormat="false" ht="15" hidden="false" customHeight="false" outlineLevel="0" collapsed="false">
      <c r="A46" s="9" t="n">
        <v>25</v>
      </c>
      <c r="B46" s="9" t="s">
        <v>180</v>
      </c>
      <c r="C46" s="9" t="s">
        <v>181</v>
      </c>
      <c r="D46" s="9" t="s">
        <v>128</v>
      </c>
      <c r="E46" s="10" t="n">
        <v>1900</v>
      </c>
      <c r="F46" s="11" t="s">
        <v>33</v>
      </c>
      <c r="G46" s="9" t="s">
        <v>132</v>
      </c>
      <c r="H46" s="12" t="n">
        <f aca="false">IF(D46="Consumables",Settings!$B$4,Settings!$B$3)</f>
        <v>0.15</v>
      </c>
      <c r="I46" s="13" t="n">
        <f aca="false">E46*Settings!$B$2*(1+H46)</f>
        <v>35965.1</v>
      </c>
      <c r="J46" s="14" t="n">
        <f aca="false">Settings!$B$5</f>
        <v>0.375</v>
      </c>
      <c r="K46" s="13" t="n">
        <f aca="false">CEILING(I46*(1+J46),Settings!$B$6)</f>
        <v>49500</v>
      </c>
      <c r="L46" s="13" t="n">
        <f aca="false">K46-I46</f>
        <v>13534.9</v>
      </c>
      <c r="M46" s="14" t="n">
        <f aca="false">IF(K46=0,0,L46/K46)</f>
        <v>0.273432323232323</v>
      </c>
      <c r="N46" s="15" t="s">
        <v>182</v>
      </c>
    </row>
    <row r="47" customFormat="false" ht="15" hidden="false" customHeight="false" outlineLevel="0" collapsed="false">
      <c r="A47" s="9" t="n">
        <v>26</v>
      </c>
      <c r="B47" s="9" t="s">
        <v>183</v>
      </c>
      <c r="C47" s="9" t="s">
        <v>184</v>
      </c>
      <c r="D47" s="9" t="s">
        <v>128</v>
      </c>
      <c r="E47" s="10" t="n">
        <v>1900</v>
      </c>
      <c r="F47" s="11" t="s">
        <v>33</v>
      </c>
      <c r="G47" s="9" t="s">
        <v>185</v>
      </c>
      <c r="H47" s="12" t="n">
        <f aca="false">IF(D47="Consumables",Settings!$B$4,Settings!$B$3)</f>
        <v>0.15</v>
      </c>
      <c r="I47" s="13" t="n">
        <f aca="false">E47*Settings!$B$2*(1+H47)</f>
        <v>35965.1</v>
      </c>
      <c r="J47" s="14" t="n">
        <f aca="false">Settings!$B$5</f>
        <v>0.375</v>
      </c>
      <c r="K47" s="13" t="n">
        <f aca="false">CEILING(I47*(1+J47),Settings!$B$6)</f>
        <v>49500</v>
      </c>
      <c r="L47" s="13" t="n">
        <f aca="false">K47-I47</f>
        <v>13534.9</v>
      </c>
      <c r="M47" s="14" t="n">
        <f aca="false">IF(K47=0,0,L47/K47)</f>
        <v>0.273432323232323</v>
      </c>
      <c r="N47" s="15" t="s">
        <v>186</v>
      </c>
    </row>
    <row r="48" customFormat="false" ht="15" hidden="false" customHeight="false" outlineLevel="0" collapsed="false">
      <c r="A48" s="9" t="n">
        <v>27</v>
      </c>
      <c r="B48" s="9" t="s">
        <v>187</v>
      </c>
      <c r="C48" s="9" t="s">
        <v>188</v>
      </c>
      <c r="D48" s="9" t="s">
        <v>128</v>
      </c>
      <c r="E48" s="10" t="n">
        <v>1000</v>
      </c>
      <c r="F48" s="11" t="s">
        <v>33</v>
      </c>
      <c r="G48" s="9" t="s">
        <v>189</v>
      </c>
      <c r="H48" s="12" t="n">
        <f aca="false">IF(D48="Consumables",Settings!$B$4,Settings!$B$3)</f>
        <v>0.15</v>
      </c>
      <c r="I48" s="13" t="n">
        <f aca="false">E48*Settings!$B$2*(1+H48)</f>
        <v>18929</v>
      </c>
      <c r="J48" s="14" t="n">
        <f aca="false">Settings!$B$5</f>
        <v>0.375</v>
      </c>
      <c r="K48" s="13" t="n">
        <f aca="false">CEILING(I48*(1+J48),Settings!$B$6)</f>
        <v>26050</v>
      </c>
      <c r="L48" s="13" t="n">
        <f aca="false">K48-I48</f>
        <v>7121</v>
      </c>
      <c r="M48" s="14" t="n">
        <f aca="false">IF(K48=0,0,L48/K48)</f>
        <v>0.273358925143954</v>
      </c>
      <c r="N48" s="15" t="s">
        <v>190</v>
      </c>
    </row>
    <row r="49" customFormat="false" ht="15" hidden="false" customHeight="false" outlineLevel="0" collapsed="false">
      <c r="A49" s="9" t="n">
        <v>28</v>
      </c>
      <c r="B49" s="9" t="s">
        <v>191</v>
      </c>
      <c r="C49" s="9" t="s">
        <v>192</v>
      </c>
      <c r="D49" s="9" t="s">
        <v>128</v>
      </c>
      <c r="E49" s="10" t="n">
        <v>850</v>
      </c>
      <c r="F49" s="11" t="s">
        <v>33</v>
      </c>
      <c r="G49" s="9" t="s">
        <v>189</v>
      </c>
      <c r="H49" s="12" t="n">
        <f aca="false">IF(D49="Consumables",Settings!$B$4,Settings!$B$3)</f>
        <v>0.15</v>
      </c>
      <c r="I49" s="13" t="n">
        <f aca="false">E49*Settings!$B$2*(1+H49)</f>
        <v>16089.65</v>
      </c>
      <c r="J49" s="14" t="n">
        <f aca="false">Settings!$B$5</f>
        <v>0.375</v>
      </c>
      <c r="K49" s="13" t="n">
        <f aca="false">CEILING(I49*(1+J49),Settings!$B$6)</f>
        <v>22150</v>
      </c>
      <c r="L49" s="13" t="n">
        <f aca="false">K49-I49</f>
        <v>6060.35</v>
      </c>
      <c r="M49" s="14" t="n">
        <f aca="false">IF(K49=0,0,L49/K49)</f>
        <v>0.273604966139955</v>
      </c>
      <c r="N49" s="15" t="s">
        <v>193</v>
      </c>
    </row>
    <row r="50" customFormat="false" ht="15" hidden="false" customHeight="false" outlineLevel="0" collapsed="false">
      <c r="A50" s="9" t="n">
        <v>29</v>
      </c>
      <c r="B50" s="9" t="s">
        <v>194</v>
      </c>
      <c r="C50" s="9" t="s">
        <v>195</v>
      </c>
      <c r="D50" s="9" t="s">
        <v>128</v>
      </c>
      <c r="E50" s="10" t="n">
        <v>1900</v>
      </c>
      <c r="F50" s="11" t="s">
        <v>33</v>
      </c>
      <c r="G50" s="9" t="s">
        <v>132</v>
      </c>
      <c r="H50" s="12" t="n">
        <f aca="false">IF(D50="Consumables",Settings!$B$4,Settings!$B$3)</f>
        <v>0.15</v>
      </c>
      <c r="I50" s="13" t="n">
        <f aca="false">E50*Settings!$B$2*(1+H50)</f>
        <v>35965.1</v>
      </c>
      <c r="J50" s="14" t="n">
        <f aca="false">Settings!$B$5</f>
        <v>0.375</v>
      </c>
      <c r="K50" s="13" t="n">
        <f aca="false">CEILING(I50*(1+J50),Settings!$B$6)</f>
        <v>49500</v>
      </c>
      <c r="L50" s="13" t="n">
        <f aca="false">K50-I50</f>
        <v>13534.9</v>
      </c>
      <c r="M50" s="14" t="n">
        <f aca="false">IF(K50=0,0,L50/K50)</f>
        <v>0.273432323232323</v>
      </c>
      <c r="N50" s="15" t="s">
        <v>196</v>
      </c>
    </row>
    <row r="51" customFormat="false" ht="15" hidden="false" customHeight="false" outlineLevel="0" collapsed="false">
      <c r="A51" s="9" t="n">
        <v>30</v>
      </c>
      <c r="B51" s="9" t="s">
        <v>197</v>
      </c>
      <c r="C51" s="9" t="s">
        <v>198</v>
      </c>
      <c r="D51" s="9" t="s">
        <v>128</v>
      </c>
      <c r="E51" s="10" t="n">
        <v>2300</v>
      </c>
      <c r="F51" s="11" t="s">
        <v>33</v>
      </c>
      <c r="G51" s="9" t="s">
        <v>199</v>
      </c>
      <c r="H51" s="12" t="n">
        <f aca="false">IF(D51="Consumables",Settings!$B$4,Settings!$B$3)</f>
        <v>0.15</v>
      </c>
      <c r="I51" s="13" t="n">
        <f aca="false">E51*Settings!$B$2*(1+H51)</f>
        <v>43536.7</v>
      </c>
      <c r="J51" s="14" t="n">
        <f aca="false">Settings!$B$5</f>
        <v>0.375</v>
      </c>
      <c r="K51" s="13" t="n">
        <f aca="false">CEILING(I51*(1+J51),Settings!$B$6)</f>
        <v>59900</v>
      </c>
      <c r="L51" s="13" t="n">
        <f aca="false">K51-I51</f>
        <v>16363.3</v>
      </c>
      <c r="M51" s="14" t="n">
        <f aca="false">IF(K51=0,0,L51/K51)</f>
        <v>0.273176961602671</v>
      </c>
      <c r="N51" s="15" t="s">
        <v>200</v>
      </c>
    </row>
    <row r="52" customFormat="false" ht="15" hidden="false" customHeight="false" outlineLevel="0" collapsed="false">
      <c r="A52" s="9" t="n">
        <v>71</v>
      </c>
      <c r="B52" s="9" t="s">
        <v>201</v>
      </c>
      <c r="C52" s="9" t="s">
        <v>202</v>
      </c>
      <c r="D52" s="9" t="s">
        <v>128</v>
      </c>
      <c r="E52" s="10" t="n">
        <v>1650</v>
      </c>
      <c r="F52" s="18" t="s">
        <v>112</v>
      </c>
      <c r="G52" s="9" t="s">
        <v>132</v>
      </c>
      <c r="H52" s="12" t="n">
        <f aca="false">IF(D52="Consumables",Settings!$B$4,Settings!$B$3)</f>
        <v>0.15</v>
      </c>
      <c r="I52" s="13" t="n">
        <f aca="false">E52*Settings!$B$2*(1+H52)</f>
        <v>31232.85</v>
      </c>
      <c r="J52" s="14" t="n">
        <f aca="false">Settings!$B$5</f>
        <v>0.375</v>
      </c>
      <c r="K52" s="13" t="n">
        <f aca="false">CEILING(I52*(1+J52),Settings!$B$6)</f>
        <v>42950</v>
      </c>
      <c r="L52" s="13" t="n">
        <f aca="false">K52-I52</f>
        <v>11717.15</v>
      </c>
      <c r="M52" s="14" t="n">
        <f aca="false">IF(K52=0,0,L52/K52)</f>
        <v>0.27280908032596</v>
      </c>
      <c r="N52" s="15" t="s">
        <v>203</v>
      </c>
    </row>
    <row r="53" customFormat="false" ht="15" hidden="false" customHeight="false" outlineLevel="0" collapsed="false">
      <c r="A53" s="9" t="n">
        <v>72</v>
      </c>
      <c r="B53" s="9" t="s">
        <v>204</v>
      </c>
      <c r="C53" s="9" t="s">
        <v>205</v>
      </c>
      <c r="D53" s="9" t="s">
        <v>128</v>
      </c>
      <c r="E53" s="10" t="n">
        <v>450</v>
      </c>
      <c r="F53" s="11" t="s">
        <v>33</v>
      </c>
      <c r="G53" s="9" t="s">
        <v>132</v>
      </c>
      <c r="H53" s="12" t="n">
        <f aca="false">IF(D53="Consumables",Settings!$B$4,Settings!$B$3)</f>
        <v>0.15</v>
      </c>
      <c r="I53" s="13" t="n">
        <f aca="false">E53*Settings!$B$2*(1+H53)</f>
        <v>8518.05</v>
      </c>
      <c r="J53" s="14" t="n">
        <f aca="false">Settings!$B$5</f>
        <v>0.375</v>
      </c>
      <c r="K53" s="13" t="n">
        <f aca="false">CEILING(I53*(1+J53),Settings!$B$6)</f>
        <v>11750</v>
      </c>
      <c r="L53" s="13" t="n">
        <f aca="false">K53-I53</f>
        <v>3231.95</v>
      </c>
      <c r="M53" s="14" t="n">
        <f aca="false">IF(K53=0,0,L53/K53)</f>
        <v>0.275059574468085</v>
      </c>
      <c r="N53" s="15" t="s">
        <v>206</v>
      </c>
    </row>
    <row r="54" customFormat="false" ht="15" hidden="false" customHeight="false" outlineLevel="0" collapsed="false">
      <c r="A54" s="9" t="n">
        <v>73</v>
      </c>
      <c r="B54" s="9" t="s">
        <v>207</v>
      </c>
      <c r="C54" s="9" t="s">
        <v>208</v>
      </c>
      <c r="D54" s="9" t="s">
        <v>128</v>
      </c>
      <c r="E54" s="10" t="n">
        <v>780</v>
      </c>
      <c r="F54" s="18" t="s">
        <v>112</v>
      </c>
      <c r="G54" s="9" t="s">
        <v>132</v>
      </c>
      <c r="H54" s="12" t="n">
        <f aca="false">IF(D54="Consumables",Settings!$B$4,Settings!$B$3)</f>
        <v>0.15</v>
      </c>
      <c r="I54" s="13" t="n">
        <f aca="false">E54*Settings!$B$2*(1+H54)</f>
        <v>14764.62</v>
      </c>
      <c r="J54" s="14" t="n">
        <f aca="false">Settings!$B$5</f>
        <v>0.375</v>
      </c>
      <c r="K54" s="13" t="n">
        <f aca="false">CEILING(I54*(1+J54),Settings!$B$6)</f>
        <v>20350</v>
      </c>
      <c r="L54" s="13" t="n">
        <f aca="false">K54-I54</f>
        <v>5585.38</v>
      </c>
      <c r="M54" s="14" t="n">
        <f aca="false">IF(K54=0,0,L54/K54)</f>
        <v>0.274465847665848</v>
      </c>
      <c r="N54" s="15" t="s">
        <v>209</v>
      </c>
    </row>
    <row r="55" customFormat="false" ht="15" hidden="false" customHeight="false" outlineLevel="0" collapsed="false">
      <c r="A55" s="9" t="n">
        <v>74</v>
      </c>
      <c r="B55" s="9" t="s">
        <v>210</v>
      </c>
      <c r="C55" s="9" t="s">
        <v>211</v>
      </c>
      <c r="D55" s="9" t="s">
        <v>128</v>
      </c>
      <c r="E55" s="10" t="n">
        <v>900</v>
      </c>
      <c r="F55" s="18" t="s">
        <v>112</v>
      </c>
      <c r="G55" s="9" t="s">
        <v>212</v>
      </c>
      <c r="H55" s="12" t="n">
        <f aca="false">IF(D55="Consumables",Settings!$B$4,Settings!$B$3)</f>
        <v>0.15</v>
      </c>
      <c r="I55" s="13" t="n">
        <f aca="false">E55*Settings!$B$2*(1+H55)</f>
        <v>17036.1</v>
      </c>
      <c r="J55" s="14" t="n">
        <f aca="false">Settings!$B$5</f>
        <v>0.375</v>
      </c>
      <c r="K55" s="13" t="n">
        <f aca="false">CEILING(I55*(1+J55),Settings!$B$6)</f>
        <v>23450</v>
      </c>
      <c r="L55" s="13" t="n">
        <f aca="false">K55-I55</f>
        <v>6413.9</v>
      </c>
      <c r="M55" s="14" t="n">
        <f aca="false">IF(K55=0,0,L55/K55)</f>
        <v>0.273513859275053</v>
      </c>
      <c r="N55" s="15" t="s">
        <v>213</v>
      </c>
    </row>
    <row r="56" customFormat="false" ht="15" hidden="false" customHeight="false" outlineLevel="0" collapsed="false">
      <c r="A56" s="9" t="n">
        <v>75</v>
      </c>
      <c r="B56" s="9" t="s">
        <v>214</v>
      </c>
      <c r="C56" s="9" t="s">
        <v>215</v>
      </c>
      <c r="D56" s="9" t="s">
        <v>128</v>
      </c>
      <c r="E56" s="10" t="n">
        <v>780</v>
      </c>
      <c r="F56" s="18" t="s">
        <v>112</v>
      </c>
      <c r="G56" s="9" t="s">
        <v>132</v>
      </c>
      <c r="H56" s="12" t="n">
        <f aca="false">IF(D56="Consumables",Settings!$B$4,Settings!$B$3)</f>
        <v>0.15</v>
      </c>
      <c r="I56" s="13" t="n">
        <f aca="false">E56*Settings!$B$2*(1+H56)</f>
        <v>14764.62</v>
      </c>
      <c r="J56" s="14" t="n">
        <f aca="false">Settings!$B$5</f>
        <v>0.375</v>
      </c>
      <c r="K56" s="13" t="n">
        <f aca="false">CEILING(I56*(1+J56),Settings!$B$6)</f>
        <v>20350</v>
      </c>
      <c r="L56" s="13" t="n">
        <f aca="false">K56-I56</f>
        <v>5585.38</v>
      </c>
      <c r="M56" s="14" t="n">
        <f aca="false">IF(K56=0,0,L56/K56)</f>
        <v>0.274465847665848</v>
      </c>
      <c r="N56" s="15" t="s">
        <v>216</v>
      </c>
    </row>
    <row r="57" customFormat="false" ht="15" hidden="false" customHeight="false" outlineLevel="0" collapsed="false">
      <c r="A57" s="9" t="n">
        <v>76</v>
      </c>
      <c r="B57" s="9" t="s">
        <v>217</v>
      </c>
      <c r="C57" s="9" t="s">
        <v>218</v>
      </c>
      <c r="D57" s="9" t="s">
        <v>128</v>
      </c>
      <c r="E57" s="10" t="n">
        <v>900</v>
      </c>
      <c r="F57" s="18" t="s">
        <v>112</v>
      </c>
      <c r="G57" s="9" t="s">
        <v>212</v>
      </c>
      <c r="H57" s="12" t="n">
        <f aca="false">IF(D57="Consumables",Settings!$B$4,Settings!$B$3)</f>
        <v>0.15</v>
      </c>
      <c r="I57" s="13" t="n">
        <f aca="false">E57*Settings!$B$2*(1+H57)</f>
        <v>17036.1</v>
      </c>
      <c r="J57" s="14" t="n">
        <f aca="false">Settings!$B$5</f>
        <v>0.375</v>
      </c>
      <c r="K57" s="13" t="n">
        <f aca="false">CEILING(I57*(1+J57),Settings!$B$6)</f>
        <v>23450</v>
      </c>
      <c r="L57" s="13" t="n">
        <f aca="false">K57-I57</f>
        <v>6413.9</v>
      </c>
      <c r="M57" s="14" t="n">
        <f aca="false">IF(K57=0,0,L57/K57)</f>
        <v>0.273513859275053</v>
      </c>
      <c r="N57" s="15" t="s">
        <v>219</v>
      </c>
    </row>
    <row r="58" customFormat="false" ht="15" hidden="false" customHeight="false" outlineLevel="0" collapsed="false">
      <c r="A58" s="9" t="n">
        <v>77</v>
      </c>
      <c r="B58" s="9" t="s">
        <v>220</v>
      </c>
      <c r="C58" s="9" t="s">
        <v>221</v>
      </c>
      <c r="D58" s="9" t="s">
        <v>128</v>
      </c>
      <c r="E58" s="10" t="n">
        <v>1400</v>
      </c>
      <c r="F58" s="18" t="s">
        <v>112</v>
      </c>
      <c r="G58" s="9" t="s">
        <v>132</v>
      </c>
      <c r="H58" s="12" t="n">
        <f aca="false">IF(D58="Consumables",Settings!$B$4,Settings!$B$3)</f>
        <v>0.15</v>
      </c>
      <c r="I58" s="13" t="n">
        <f aca="false">E58*Settings!$B$2*(1+H58)</f>
        <v>26500.6</v>
      </c>
      <c r="J58" s="14" t="n">
        <f aca="false">Settings!$B$5</f>
        <v>0.375</v>
      </c>
      <c r="K58" s="13" t="n">
        <f aca="false">CEILING(I58*(1+J58),Settings!$B$6)</f>
        <v>36450</v>
      </c>
      <c r="L58" s="13" t="n">
        <f aca="false">K58-I58</f>
        <v>9949.4</v>
      </c>
      <c r="M58" s="14" t="n">
        <f aca="false">IF(K58=0,0,L58/K58)</f>
        <v>0.272960219478738</v>
      </c>
      <c r="N58" s="15" t="s">
        <v>222</v>
      </c>
    </row>
    <row r="59" customFormat="false" ht="15" hidden="false" customHeight="false" outlineLevel="0" collapsed="false">
      <c r="A59" s="9" t="n">
        <v>78</v>
      </c>
      <c r="B59" s="9" t="s">
        <v>223</v>
      </c>
      <c r="C59" s="9" t="s">
        <v>224</v>
      </c>
      <c r="D59" s="9" t="s">
        <v>128</v>
      </c>
      <c r="E59" s="10" t="n">
        <v>1600</v>
      </c>
      <c r="F59" s="18" t="s">
        <v>112</v>
      </c>
      <c r="G59" s="9" t="s">
        <v>212</v>
      </c>
      <c r="H59" s="12" t="n">
        <f aca="false">IF(D59="Consumables",Settings!$B$4,Settings!$B$3)</f>
        <v>0.15</v>
      </c>
      <c r="I59" s="13" t="n">
        <f aca="false">E59*Settings!$B$2*(1+H59)</f>
        <v>30286.4</v>
      </c>
      <c r="J59" s="14" t="n">
        <f aca="false">Settings!$B$5</f>
        <v>0.375</v>
      </c>
      <c r="K59" s="13" t="n">
        <f aca="false">CEILING(I59*(1+J59),Settings!$B$6)</f>
        <v>41650</v>
      </c>
      <c r="L59" s="13" t="n">
        <f aca="false">K59-I59</f>
        <v>11363.6</v>
      </c>
      <c r="M59" s="14" t="n">
        <f aca="false">IF(K59=0,0,L59/K59)</f>
        <v>0.272835534213686</v>
      </c>
      <c r="N59" s="15" t="s">
        <v>225</v>
      </c>
    </row>
    <row r="60" customFormat="false" ht="15" hidden="false" customHeight="false" outlineLevel="0" collapsed="false">
      <c r="A60" s="9" t="n">
        <v>79</v>
      </c>
      <c r="B60" s="9" t="s">
        <v>226</v>
      </c>
      <c r="C60" s="9" t="s">
        <v>227</v>
      </c>
      <c r="D60" s="9" t="s">
        <v>128</v>
      </c>
      <c r="E60" s="10" t="n">
        <v>900</v>
      </c>
      <c r="F60" s="18" t="s">
        <v>112</v>
      </c>
      <c r="G60" s="9" t="s">
        <v>132</v>
      </c>
      <c r="H60" s="12" t="n">
        <f aca="false">IF(D60="Consumables",Settings!$B$4,Settings!$B$3)</f>
        <v>0.15</v>
      </c>
      <c r="I60" s="13" t="n">
        <f aca="false">E60*Settings!$B$2*(1+H60)</f>
        <v>17036.1</v>
      </c>
      <c r="J60" s="14" t="n">
        <f aca="false">Settings!$B$5</f>
        <v>0.375</v>
      </c>
      <c r="K60" s="13" t="n">
        <f aca="false">CEILING(I60*(1+J60),Settings!$B$6)</f>
        <v>23450</v>
      </c>
      <c r="L60" s="13" t="n">
        <f aca="false">K60-I60</f>
        <v>6413.9</v>
      </c>
      <c r="M60" s="14" t="n">
        <f aca="false">IF(K60=0,0,L60/K60)</f>
        <v>0.273513859275053</v>
      </c>
      <c r="N60" s="15" t="s">
        <v>228</v>
      </c>
    </row>
    <row r="61" customFormat="false" ht="15" hidden="false" customHeight="false" outlineLevel="0" collapsed="false">
      <c r="A61" s="9" t="n">
        <v>80</v>
      </c>
      <c r="B61" s="9" t="s">
        <v>229</v>
      </c>
      <c r="C61" s="9" t="s">
        <v>230</v>
      </c>
      <c r="D61" s="9" t="s">
        <v>128</v>
      </c>
      <c r="E61" s="10" t="n">
        <v>1600</v>
      </c>
      <c r="F61" s="18" t="s">
        <v>112</v>
      </c>
      <c r="G61" s="9" t="s">
        <v>132</v>
      </c>
      <c r="H61" s="12" t="n">
        <f aca="false">IF(D61="Consumables",Settings!$B$4,Settings!$B$3)</f>
        <v>0.15</v>
      </c>
      <c r="I61" s="13" t="n">
        <f aca="false">E61*Settings!$B$2*(1+H61)</f>
        <v>30286.4</v>
      </c>
      <c r="J61" s="14" t="n">
        <f aca="false">Settings!$B$5</f>
        <v>0.375</v>
      </c>
      <c r="K61" s="13" t="n">
        <f aca="false">CEILING(I61*(1+J61),Settings!$B$6)</f>
        <v>41650</v>
      </c>
      <c r="L61" s="13" t="n">
        <f aca="false">K61-I61</f>
        <v>11363.6</v>
      </c>
      <c r="M61" s="14" t="n">
        <f aca="false">IF(K61=0,0,L61/K61)</f>
        <v>0.272835534213686</v>
      </c>
      <c r="N61" s="15" t="s">
        <v>231</v>
      </c>
    </row>
    <row r="62" customFormat="false" ht="15" hidden="false" customHeight="false" outlineLevel="0" collapsed="false">
      <c r="A62" s="9" t="n">
        <v>81</v>
      </c>
      <c r="B62" s="9" t="s">
        <v>232</v>
      </c>
      <c r="C62" s="9" t="s">
        <v>233</v>
      </c>
      <c r="D62" s="9" t="s">
        <v>128</v>
      </c>
      <c r="E62" s="10" t="n">
        <v>1800</v>
      </c>
      <c r="F62" s="18" t="s">
        <v>112</v>
      </c>
      <c r="G62" s="9" t="s">
        <v>212</v>
      </c>
      <c r="H62" s="12" t="n">
        <f aca="false">IF(D62="Consumables",Settings!$B$4,Settings!$B$3)</f>
        <v>0.15</v>
      </c>
      <c r="I62" s="13" t="n">
        <f aca="false">E62*Settings!$B$2*(1+H62)</f>
        <v>34072.2</v>
      </c>
      <c r="J62" s="14" t="n">
        <f aca="false">Settings!$B$5</f>
        <v>0.375</v>
      </c>
      <c r="K62" s="13" t="n">
        <f aca="false">CEILING(I62*(1+J62),Settings!$B$6)</f>
        <v>46850</v>
      </c>
      <c r="L62" s="13" t="n">
        <f aca="false">K62-I62</f>
        <v>12777.8</v>
      </c>
      <c r="M62" s="14" t="n">
        <f aca="false">IF(K62=0,0,L62/K62)</f>
        <v>0.272738527214514</v>
      </c>
      <c r="N62" s="15" t="s">
        <v>234</v>
      </c>
    </row>
    <row r="63" customFormat="false" ht="15" hidden="false" customHeight="false" outlineLevel="0" collapsed="false">
      <c r="A63" s="9" t="n">
        <v>82</v>
      </c>
      <c r="B63" s="9" t="s">
        <v>235</v>
      </c>
      <c r="C63" s="9" t="s">
        <v>236</v>
      </c>
      <c r="D63" s="9" t="s">
        <v>128</v>
      </c>
      <c r="E63" s="10" t="n">
        <v>380</v>
      </c>
      <c r="F63" s="11" t="s">
        <v>33</v>
      </c>
      <c r="G63" s="9" t="s">
        <v>132</v>
      </c>
      <c r="H63" s="12" t="n">
        <f aca="false">IF(D63="Consumables",Settings!$B$4,Settings!$B$3)</f>
        <v>0.15</v>
      </c>
      <c r="I63" s="13" t="n">
        <f aca="false">E63*Settings!$B$2*(1+H63)</f>
        <v>7193.02</v>
      </c>
      <c r="J63" s="14" t="n">
        <f aca="false">Settings!$B$5</f>
        <v>0.375</v>
      </c>
      <c r="K63" s="13" t="n">
        <f aca="false">CEILING(I63*(1+J63),Settings!$B$6)</f>
        <v>9900</v>
      </c>
      <c r="L63" s="13" t="n">
        <f aca="false">K63-I63</f>
        <v>2706.98</v>
      </c>
      <c r="M63" s="14" t="n">
        <f aca="false">IF(K63=0,0,L63/K63)</f>
        <v>0.273432323232323</v>
      </c>
      <c r="N63" s="15" t="s">
        <v>237</v>
      </c>
    </row>
    <row r="64" customFormat="false" ht="15" hidden="false" customHeight="false" outlineLevel="0" collapsed="false">
      <c r="A64" s="9" t="n">
        <v>83</v>
      </c>
      <c r="B64" s="9" t="s">
        <v>238</v>
      </c>
      <c r="C64" s="9" t="s">
        <v>239</v>
      </c>
      <c r="D64" s="9" t="s">
        <v>128</v>
      </c>
      <c r="E64" s="10" t="n">
        <v>450</v>
      </c>
      <c r="F64" s="11" t="s">
        <v>33</v>
      </c>
      <c r="G64" s="9" t="s">
        <v>212</v>
      </c>
      <c r="H64" s="12" t="n">
        <f aca="false">IF(D64="Consumables",Settings!$B$4,Settings!$B$3)</f>
        <v>0.15</v>
      </c>
      <c r="I64" s="13" t="n">
        <f aca="false">E64*Settings!$B$2*(1+H64)</f>
        <v>8518.05</v>
      </c>
      <c r="J64" s="14" t="n">
        <f aca="false">Settings!$B$5</f>
        <v>0.375</v>
      </c>
      <c r="K64" s="13" t="n">
        <f aca="false">CEILING(I64*(1+J64),Settings!$B$6)</f>
        <v>11750</v>
      </c>
      <c r="L64" s="13" t="n">
        <f aca="false">K64-I64</f>
        <v>3231.95</v>
      </c>
      <c r="M64" s="14" t="n">
        <f aca="false">IF(K64=0,0,L64/K64)</f>
        <v>0.275059574468085</v>
      </c>
      <c r="N64" s="15" t="s">
        <v>240</v>
      </c>
    </row>
    <row r="65" customFormat="false" ht="15" hidden="false" customHeight="false" outlineLevel="0" collapsed="false">
      <c r="A65" s="9" t="n">
        <v>84</v>
      </c>
      <c r="B65" s="9" t="s">
        <v>241</v>
      </c>
      <c r="C65" s="9" t="s">
        <v>242</v>
      </c>
      <c r="D65" s="9" t="s">
        <v>128</v>
      </c>
      <c r="E65" s="10" t="n">
        <v>800</v>
      </c>
      <c r="F65" s="18" t="s">
        <v>112</v>
      </c>
      <c r="G65" s="9" t="s">
        <v>132</v>
      </c>
      <c r="H65" s="12" t="n">
        <f aca="false">IF(D65="Consumables",Settings!$B$4,Settings!$B$3)</f>
        <v>0.15</v>
      </c>
      <c r="I65" s="13" t="n">
        <f aca="false">E65*Settings!$B$2*(1+H65)</f>
        <v>15143.2</v>
      </c>
      <c r="J65" s="14" t="n">
        <f aca="false">Settings!$B$5</f>
        <v>0.375</v>
      </c>
      <c r="K65" s="13" t="n">
        <f aca="false">CEILING(I65*(1+J65),Settings!$B$6)</f>
        <v>20850</v>
      </c>
      <c r="L65" s="13" t="n">
        <f aca="false">K65-I65</f>
        <v>5706.8</v>
      </c>
      <c r="M65" s="14" t="n">
        <f aca="false">IF(K65=0,0,L65/K65)</f>
        <v>0.273707434052758</v>
      </c>
      <c r="N65" s="15" t="s">
        <v>243</v>
      </c>
    </row>
    <row r="66" customFormat="false" ht="15" hidden="false" customHeight="false" outlineLevel="0" collapsed="false">
      <c r="A66" s="9" t="n">
        <v>85</v>
      </c>
      <c r="B66" s="9" t="s">
        <v>244</v>
      </c>
      <c r="C66" s="9" t="s">
        <v>245</v>
      </c>
      <c r="D66" s="9" t="s">
        <v>128</v>
      </c>
      <c r="E66" s="10" t="n">
        <v>920</v>
      </c>
      <c r="F66" s="18" t="s">
        <v>112</v>
      </c>
      <c r="G66" s="9" t="s">
        <v>212</v>
      </c>
      <c r="H66" s="12" t="n">
        <f aca="false">IF(D66="Consumables",Settings!$B$4,Settings!$B$3)</f>
        <v>0.15</v>
      </c>
      <c r="I66" s="13" t="n">
        <f aca="false">E66*Settings!$B$2*(1+H66)</f>
        <v>17414.68</v>
      </c>
      <c r="J66" s="14" t="n">
        <f aca="false">Settings!$B$5</f>
        <v>0.375</v>
      </c>
      <c r="K66" s="13" t="n">
        <f aca="false">CEILING(I66*(1+J66),Settings!$B$6)</f>
        <v>23950</v>
      </c>
      <c r="L66" s="13" t="n">
        <f aca="false">K66-I66</f>
        <v>6535.32</v>
      </c>
      <c r="M66" s="14" t="n">
        <f aca="false">IF(K66=0,0,L66/K66)</f>
        <v>0.272873486430063</v>
      </c>
      <c r="N66" s="15" t="s">
        <v>246</v>
      </c>
    </row>
    <row r="67" customFormat="false" ht="15" hidden="false" customHeight="false" outlineLevel="0" collapsed="false">
      <c r="A67" s="9" t="n">
        <v>86</v>
      </c>
      <c r="B67" s="9" t="s">
        <v>247</v>
      </c>
      <c r="C67" s="9" t="s">
        <v>248</v>
      </c>
      <c r="D67" s="9" t="s">
        <v>128</v>
      </c>
      <c r="E67" s="10" t="n">
        <v>1550</v>
      </c>
      <c r="F67" s="18" t="s">
        <v>112</v>
      </c>
      <c r="G67" s="9" t="s">
        <v>132</v>
      </c>
      <c r="H67" s="12" t="n">
        <f aca="false">IF(D67="Consumables",Settings!$B$4,Settings!$B$3)</f>
        <v>0.15</v>
      </c>
      <c r="I67" s="13" t="n">
        <f aca="false">E67*Settings!$B$2*(1+H67)</f>
        <v>29339.95</v>
      </c>
      <c r="J67" s="14" t="n">
        <f aca="false">Settings!$B$5</f>
        <v>0.375</v>
      </c>
      <c r="K67" s="13" t="n">
        <f aca="false">CEILING(I67*(1+J67),Settings!$B$6)</f>
        <v>40350</v>
      </c>
      <c r="L67" s="13" t="n">
        <f aca="false">K67-I67</f>
        <v>11010.05</v>
      </c>
      <c r="M67" s="14" t="n">
        <f aca="false">IF(K67=0,0,L67/K67)</f>
        <v>0.272863692688972</v>
      </c>
      <c r="N67" s="15" t="s">
        <v>249</v>
      </c>
    </row>
    <row r="68" customFormat="false" ht="15" hidden="false" customHeight="false" outlineLevel="0" collapsed="false">
      <c r="A68" s="9" t="n">
        <v>87</v>
      </c>
      <c r="B68" s="9" t="s">
        <v>250</v>
      </c>
      <c r="C68" s="9" t="s">
        <v>251</v>
      </c>
      <c r="D68" s="9" t="s">
        <v>128</v>
      </c>
      <c r="E68" s="10" t="n">
        <v>1750</v>
      </c>
      <c r="F68" s="18" t="s">
        <v>112</v>
      </c>
      <c r="G68" s="9" t="s">
        <v>212</v>
      </c>
      <c r="H68" s="12" t="n">
        <f aca="false">IF(D68="Consumables",Settings!$B$4,Settings!$B$3)</f>
        <v>0.15</v>
      </c>
      <c r="I68" s="13" t="n">
        <f aca="false">E68*Settings!$B$2*(1+H68)</f>
        <v>33125.75</v>
      </c>
      <c r="J68" s="14" t="n">
        <f aca="false">Settings!$B$5</f>
        <v>0.375</v>
      </c>
      <c r="K68" s="13" t="n">
        <f aca="false">CEILING(I68*(1+J68),Settings!$B$6)</f>
        <v>45550</v>
      </c>
      <c r="L68" s="13" t="n">
        <f aca="false">K68-I68</f>
        <v>12424.25</v>
      </c>
      <c r="M68" s="14" t="n">
        <f aca="false">IF(K68=0,0,L68/K68)</f>
        <v>0.272760702524698</v>
      </c>
      <c r="N68" s="15" t="s">
        <v>252</v>
      </c>
    </row>
    <row r="69" customFormat="false" ht="15" hidden="false" customHeight="false" outlineLevel="0" collapsed="false">
      <c r="A69" s="9" t="n">
        <v>88</v>
      </c>
      <c r="B69" s="9" t="s">
        <v>253</v>
      </c>
      <c r="C69" s="9" t="s">
        <v>254</v>
      </c>
      <c r="D69" s="9" t="s">
        <v>128</v>
      </c>
      <c r="E69" s="10" t="n">
        <v>1050</v>
      </c>
      <c r="F69" s="18" t="s">
        <v>112</v>
      </c>
      <c r="G69" s="9" t="s">
        <v>212</v>
      </c>
      <c r="H69" s="12" t="n">
        <f aca="false">IF(D69="Consumables",Settings!$B$4,Settings!$B$3)</f>
        <v>0.15</v>
      </c>
      <c r="I69" s="13" t="n">
        <f aca="false">E69*Settings!$B$2*(1+H69)</f>
        <v>19875.45</v>
      </c>
      <c r="J69" s="14" t="n">
        <f aca="false">Settings!$B$5</f>
        <v>0.375</v>
      </c>
      <c r="K69" s="13" t="n">
        <f aca="false">CEILING(I69*(1+J69),Settings!$B$6)</f>
        <v>27350</v>
      </c>
      <c r="L69" s="13" t="n">
        <f aca="false">K69-I69</f>
        <v>7474.55</v>
      </c>
      <c r="M69" s="14" t="n">
        <f aca="false">IF(K69=0,0,L69/K69)</f>
        <v>0.273292504570384</v>
      </c>
      <c r="N69" s="15" t="s">
        <v>255</v>
      </c>
    </row>
    <row r="70" customFormat="false" ht="15" hidden="false" customHeight="false" outlineLevel="0" collapsed="false">
      <c r="A70" s="9" t="n">
        <v>89</v>
      </c>
      <c r="B70" s="9" t="s">
        <v>256</v>
      </c>
      <c r="C70" s="9" t="s">
        <v>257</v>
      </c>
      <c r="D70" s="9" t="s">
        <v>128</v>
      </c>
      <c r="E70" s="10" t="n">
        <v>1850</v>
      </c>
      <c r="F70" s="18" t="s">
        <v>112</v>
      </c>
      <c r="G70" s="9" t="s">
        <v>212</v>
      </c>
      <c r="H70" s="12" t="n">
        <f aca="false">IF(D70="Consumables",Settings!$B$4,Settings!$B$3)</f>
        <v>0.15</v>
      </c>
      <c r="I70" s="13" t="n">
        <f aca="false">E70*Settings!$B$2*(1+H70)</f>
        <v>35018.65</v>
      </c>
      <c r="J70" s="14" t="n">
        <f aca="false">Settings!$B$5</f>
        <v>0.375</v>
      </c>
      <c r="K70" s="13" t="n">
        <f aca="false">CEILING(I70*(1+J70),Settings!$B$6)</f>
        <v>48200</v>
      </c>
      <c r="L70" s="13" t="n">
        <f aca="false">K70-I70</f>
        <v>13181.35</v>
      </c>
      <c r="M70" s="14" t="n">
        <f aca="false">IF(K70=0,0,L70/K70)</f>
        <v>0.273471991701245</v>
      </c>
      <c r="N70" s="15" t="s">
        <v>258</v>
      </c>
    </row>
    <row r="71" customFormat="false" ht="15" hidden="false" customHeight="false" outlineLevel="0" collapsed="false">
      <c r="A71" s="9" t="n">
        <v>90</v>
      </c>
      <c r="B71" s="9" t="s">
        <v>259</v>
      </c>
      <c r="C71" s="9" t="s">
        <v>260</v>
      </c>
      <c r="D71" s="9" t="s">
        <v>128</v>
      </c>
      <c r="E71" s="10" t="n">
        <v>1700</v>
      </c>
      <c r="F71" s="18" t="s">
        <v>112</v>
      </c>
      <c r="G71" s="9" t="s">
        <v>132</v>
      </c>
      <c r="H71" s="12" t="n">
        <f aca="false">IF(D71="Consumables",Settings!$B$4,Settings!$B$3)</f>
        <v>0.15</v>
      </c>
      <c r="I71" s="13" t="n">
        <f aca="false">E71*Settings!$B$2*(1+H71)</f>
        <v>32179.3</v>
      </c>
      <c r="J71" s="14" t="n">
        <f aca="false">Settings!$B$5</f>
        <v>0.375</v>
      </c>
      <c r="K71" s="13" t="n">
        <f aca="false">CEILING(I71*(1+J71),Settings!$B$6)</f>
        <v>44250</v>
      </c>
      <c r="L71" s="13" t="n">
        <f aca="false">K71-I71</f>
        <v>12070.7</v>
      </c>
      <c r="M71" s="14" t="n">
        <f aca="false">IF(K71=0,0,L71/K71)</f>
        <v>0.27278418079096</v>
      </c>
      <c r="N71" s="15" t="s">
        <v>261</v>
      </c>
    </row>
    <row r="72" customFormat="false" ht="15" hidden="false" customHeight="false" outlineLevel="0" collapsed="false">
      <c r="A72" s="9" t="n">
        <v>91</v>
      </c>
      <c r="B72" s="9" t="s">
        <v>262</v>
      </c>
      <c r="C72" s="9" t="s">
        <v>263</v>
      </c>
      <c r="D72" s="9" t="s">
        <v>128</v>
      </c>
      <c r="E72" s="10" t="n">
        <v>1900</v>
      </c>
      <c r="F72" s="18" t="s">
        <v>112</v>
      </c>
      <c r="G72" s="9" t="s">
        <v>212</v>
      </c>
      <c r="H72" s="12" t="n">
        <f aca="false">IF(D72="Consumables",Settings!$B$4,Settings!$B$3)</f>
        <v>0.15</v>
      </c>
      <c r="I72" s="13" t="n">
        <f aca="false">E72*Settings!$B$2*(1+H72)</f>
        <v>35965.1</v>
      </c>
      <c r="J72" s="14" t="n">
        <f aca="false">Settings!$B$5</f>
        <v>0.375</v>
      </c>
      <c r="K72" s="13" t="n">
        <f aca="false">CEILING(I72*(1+J72),Settings!$B$6)</f>
        <v>49500</v>
      </c>
      <c r="L72" s="13" t="n">
        <f aca="false">K72-I72</f>
        <v>13534.9</v>
      </c>
      <c r="M72" s="14" t="n">
        <f aca="false">IF(K72=0,0,L72/K72)</f>
        <v>0.273432323232323</v>
      </c>
      <c r="N72" s="15" t="s">
        <v>264</v>
      </c>
    </row>
    <row r="73" customFormat="false" ht="15" hidden="false" customHeight="false" outlineLevel="0" collapsed="false">
      <c r="A73" s="9" t="n">
        <v>92</v>
      </c>
      <c r="B73" s="9" t="s">
        <v>265</v>
      </c>
      <c r="C73" s="9" t="s">
        <v>266</v>
      </c>
      <c r="D73" s="9" t="s">
        <v>128</v>
      </c>
      <c r="E73" s="10" t="n">
        <v>800</v>
      </c>
      <c r="F73" s="18" t="s">
        <v>112</v>
      </c>
      <c r="G73" s="9" t="s">
        <v>132</v>
      </c>
      <c r="H73" s="12" t="n">
        <f aca="false">IF(D73="Consumables",Settings!$B$4,Settings!$B$3)</f>
        <v>0.15</v>
      </c>
      <c r="I73" s="13" t="n">
        <f aca="false">E73*Settings!$B$2*(1+H73)</f>
        <v>15143.2</v>
      </c>
      <c r="J73" s="14" t="n">
        <f aca="false">Settings!$B$5</f>
        <v>0.375</v>
      </c>
      <c r="K73" s="13" t="n">
        <f aca="false">CEILING(I73*(1+J73),Settings!$B$6)</f>
        <v>20850</v>
      </c>
      <c r="L73" s="13" t="n">
        <f aca="false">K73-I73</f>
        <v>5706.8</v>
      </c>
      <c r="M73" s="14" t="n">
        <f aca="false">IF(K73=0,0,L73/K73)</f>
        <v>0.273707434052758</v>
      </c>
      <c r="N73" s="15" t="s">
        <v>267</v>
      </c>
    </row>
    <row r="74" customFormat="false" ht="15" hidden="false" customHeight="false" outlineLevel="0" collapsed="false">
      <c r="A74" s="9" t="n">
        <v>93</v>
      </c>
      <c r="B74" s="9" t="s">
        <v>268</v>
      </c>
      <c r="C74" s="9" t="s">
        <v>269</v>
      </c>
      <c r="D74" s="9" t="s">
        <v>128</v>
      </c>
      <c r="E74" s="10" t="n">
        <v>1500</v>
      </c>
      <c r="F74" s="18" t="s">
        <v>112</v>
      </c>
      <c r="G74" s="9" t="s">
        <v>132</v>
      </c>
      <c r="H74" s="12" t="n">
        <f aca="false">IF(D74="Consumables",Settings!$B$4,Settings!$B$3)</f>
        <v>0.15</v>
      </c>
      <c r="I74" s="13" t="n">
        <f aca="false">E74*Settings!$B$2*(1+H74)</f>
        <v>28393.5</v>
      </c>
      <c r="J74" s="14" t="n">
        <f aca="false">Settings!$B$5</f>
        <v>0.375</v>
      </c>
      <c r="K74" s="13" t="n">
        <f aca="false">CEILING(I74*(1+J74),Settings!$B$6)</f>
        <v>39050</v>
      </c>
      <c r="L74" s="13" t="n">
        <f aca="false">K74-I74</f>
        <v>10656.5</v>
      </c>
      <c r="M74" s="14" t="n">
        <f aca="false">IF(K74=0,0,L74/K74)</f>
        <v>0.272893725992318</v>
      </c>
      <c r="N74" s="15" t="s">
        <v>270</v>
      </c>
    </row>
    <row r="75" customFormat="false" ht="15" hidden="false" customHeight="false" outlineLevel="0" collapsed="false">
      <c r="A75" s="9" t="n">
        <v>94</v>
      </c>
      <c r="B75" s="9" t="s">
        <v>271</v>
      </c>
      <c r="C75" s="9" t="s">
        <v>272</v>
      </c>
      <c r="D75" s="9" t="s">
        <v>128</v>
      </c>
      <c r="E75" s="10" t="n">
        <v>1650</v>
      </c>
      <c r="F75" s="18" t="s">
        <v>112</v>
      </c>
      <c r="G75" s="9" t="s">
        <v>273</v>
      </c>
      <c r="H75" s="12" t="n">
        <f aca="false">IF(D75="Consumables",Settings!$B$4,Settings!$B$3)</f>
        <v>0.15</v>
      </c>
      <c r="I75" s="13" t="n">
        <f aca="false">E75*Settings!$B$2*(1+H75)</f>
        <v>31232.85</v>
      </c>
      <c r="J75" s="14" t="n">
        <f aca="false">Settings!$B$5</f>
        <v>0.375</v>
      </c>
      <c r="K75" s="13" t="n">
        <f aca="false">CEILING(I75*(1+J75),Settings!$B$6)</f>
        <v>42950</v>
      </c>
      <c r="L75" s="13" t="n">
        <f aca="false">K75-I75</f>
        <v>11717.15</v>
      </c>
      <c r="M75" s="14" t="n">
        <f aca="false">IF(K75=0,0,L75/K75)</f>
        <v>0.27280908032596</v>
      </c>
      <c r="N75" s="15" t="s">
        <v>274</v>
      </c>
    </row>
    <row r="76" customFormat="false" ht="15" hidden="false" customHeight="false" outlineLevel="0" collapsed="false">
      <c r="A76" s="9" t="n">
        <v>95</v>
      </c>
      <c r="B76" s="9" t="s">
        <v>275</v>
      </c>
      <c r="C76" s="9" t="s">
        <v>276</v>
      </c>
      <c r="D76" s="9" t="s">
        <v>128</v>
      </c>
      <c r="E76" s="10" t="n">
        <v>900</v>
      </c>
      <c r="F76" s="18" t="s">
        <v>112</v>
      </c>
      <c r="G76" s="9" t="s">
        <v>132</v>
      </c>
      <c r="H76" s="12" t="n">
        <f aca="false">IF(D76="Consumables",Settings!$B$4,Settings!$B$3)</f>
        <v>0.15</v>
      </c>
      <c r="I76" s="13" t="n">
        <f aca="false">E76*Settings!$B$2*(1+H76)</f>
        <v>17036.1</v>
      </c>
      <c r="J76" s="14" t="n">
        <f aca="false">Settings!$B$5</f>
        <v>0.375</v>
      </c>
      <c r="K76" s="13" t="n">
        <f aca="false">CEILING(I76*(1+J76),Settings!$B$6)</f>
        <v>23450</v>
      </c>
      <c r="L76" s="13" t="n">
        <f aca="false">K76-I76</f>
        <v>6413.9</v>
      </c>
      <c r="M76" s="14" t="n">
        <f aca="false">IF(K76=0,0,L76/K76)</f>
        <v>0.273513859275053</v>
      </c>
      <c r="N76" s="15" t="s">
        <v>277</v>
      </c>
    </row>
    <row r="77" customFormat="false" ht="15" hidden="false" customHeight="false" outlineLevel="0" collapsed="false">
      <c r="A77" s="9" t="n">
        <v>96</v>
      </c>
      <c r="B77" s="9" t="s">
        <v>278</v>
      </c>
      <c r="C77" s="9" t="s">
        <v>279</v>
      </c>
      <c r="D77" s="9" t="s">
        <v>128</v>
      </c>
      <c r="E77" s="10" t="n">
        <v>1600</v>
      </c>
      <c r="F77" s="18" t="s">
        <v>112</v>
      </c>
      <c r="G77" s="9" t="s">
        <v>132</v>
      </c>
      <c r="H77" s="12" t="n">
        <f aca="false">IF(D77="Consumables",Settings!$B$4,Settings!$B$3)</f>
        <v>0.15</v>
      </c>
      <c r="I77" s="13" t="n">
        <f aca="false">E77*Settings!$B$2*(1+H77)</f>
        <v>30286.4</v>
      </c>
      <c r="J77" s="14" t="n">
        <f aca="false">Settings!$B$5</f>
        <v>0.375</v>
      </c>
      <c r="K77" s="13" t="n">
        <f aca="false">CEILING(I77*(1+J77),Settings!$B$6)</f>
        <v>41650</v>
      </c>
      <c r="L77" s="13" t="n">
        <f aca="false">K77-I77</f>
        <v>11363.6</v>
      </c>
      <c r="M77" s="14" t="n">
        <f aca="false">IF(K77=0,0,L77/K77)</f>
        <v>0.272835534213686</v>
      </c>
      <c r="N77" s="15" t="s">
        <v>280</v>
      </c>
    </row>
    <row r="78" customFormat="false" ht="15" hidden="false" customHeight="false" outlineLevel="0" collapsed="false">
      <c r="A78" s="9" t="n">
        <v>97</v>
      </c>
      <c r="B78" s="9" t="s">
        <v>281</v>
      </c>
      <c r="C78" s="9" t="s">
        <v>282</v>
      </c>
      <c r="D78" s="9" t="s">
        <v>128</v>
      </c>
      <c r="E78" s="10" t="n">
        <v>1750</v>
      </c>
      <c r="F78" s="18" t="s">
        <v>112</v>
      </c>
      <c r="G78" s="9" t="s">
        <v>273</v>
      </c>
      <c r="H78" s="12" t="n">
        <f aca="false">IF(D78="Consumables",Settings!$B$4,Settings!$B$3)</f>
        <v>0.15</v>
      </c>
      <c r="I78" s="13" t="n">
        <f aca="false">E78*Settings!$B$2*(1+H78)</f>
        <v>33125.75</v>
      </c>
      <c r="J78" s="14" t="n">
        <f aca="false">Settings!$B$5</f>
        <v>0.375</v>
      </c>
      <c r="K78" s="13" t="n">
        <f aca="false">CEILING(I78*(1+J78),Settings!$B$6)</f>
        <v>45550</v>
      </c>
      <c r="L78" s="13" t="n">
        <f aca="false">K78-I78</f>
        <v>12424.25</v>
      </c>
      <c r="M78" s="14" t="n">
        <f aca="false">IF(K78=0,0,L78/K78)</f>
        <v>0.272760702524698</v>
      </c>
      <c r="N78" s="15" t="s">
        <v>283</v>
      </c>
    </row>
    <row r="79" customFormat="false" ht="15" hidden="false" customHeight="false" outlineLevel="0" collapsed="false">
      <c r="A79" s="9" t="n">
        <v>98</v>
      </c>
      <c r="B79" s="9" t="s">
        <v>284</v>
      </c>
      <c r="C79" s="9" t="s">
        <v>285</v>
      </c>
      <c r="D79" s="9" t="s">
        <v>128</v>
      </c>
      <c r="E79" s="10" t="n">
        <v>1900</v>
      </c>
      <c r="F79" s="11" t="s">
        <v>33</v>
      </c>
      <c r="G79" s="9" t="s">
        <v>132</v>
      </c>
      <c r="H79" s="12" t="n">
        <f aca="false">IF(D79="Consumables",Settings!$B$4,Settings!$B$3)</f>
        <v>0.15</v>
      </c>
      <c r="I79" s="13" t="n">
        <f aca="false">E79*Settings!$B$2*(1+H79)</f>
        <v>35965.1</v>
      </c>
      <c r="J79" s="14" t="n">
        <f aca="false">Settings!$B$5</f>
        <v>0.375</v>
      </c>
      <c r="K79" s="13" t="n">
        <f aca="false">CEILING(I79*(1+J79),Settings!$B$6)</f>
        <v>49500</v>
      </c>
      <c r="L79" s="13" t="n">
        <f aca="false">K79-I79</f>
        <v>13534.9</v>
      </c>
      <c r="M79" s="14" t="n">
        <f aca="false">IF(K79=0,0,L79/K79)</f>
        <v>0.273432323232323</v>
      </c>
      <c r="N79" s="15" t="s">
        <v>286</v>
      </c>
    </row>
    <row r="80" customFormat="false" ht="15" hidden="false" customHeight="false" outlineLevel="0" collapsed="false">
      <c r="A80" s="9" t="n">
        <v>99</v>
      </c>
      <c r="B80" s="9" t="s">
        <v>287</v>
      </c>
      <c r="C80" s="9" t="s">
        <v>288</v>
      </c>
      <c r="D80" s="9" t="s">
        <v>128</v>
      </c>
      <c r="E80" s="10" t="n">
        <v>950</v>
      </c>
      <c r="F80" s="18" t="s">
        <v>112</v>
      </c>
      <c r="G80" s="9" t="s">
        <v>132</v>
      </c>
      <c r="H80" s="12" t="n">
        <f aca="false">IF(D80="Consumables",Settings!$B$4,Settings!$B$3)</f>
        <v>0.15</v>
      </c>
      <c r="I80" s="13" t="n">
        <f aca="false">E80*Settings!$B$2*(1+H80)</f>
        <v>17982.55</v>
      </c>
      <c r="J80" s="14" t="n">
        <f aca="false">Settings!$B$5</f>
        <v>0.375</v>
      </c>
      <c r="K80" s="13" t="n">
        <f aca="false">CEILING(I80*(1+J80),Settings!$B$6)</f>
        <v>24750</v>
      </c>
      <c r="L80" s="13" t="n">
        <f aca="false">K80-I80</f>
        <v>6767.45</v>
      </c>
      <c r="M80" s="14" t="n">
        <f aca="false">IF(K80=0,0,L80/K80)</f>
        <v>0.273432323232323</v>
      </c>
      <c r="N80" s="15" t="s">
        <v>289</v>
      </c>
    </row>
    <row r="81" customFormat="false" ht="15" hidden="false" customHeight="false" outlineLevel="0" collapsed="false">
      <c r="A81" s="9" t="n">
        <v>59</v>
      </c>
      <c r="B81" s="9" t="s">
        <v>290</v>
      </c>
      <c r="C81" s="9" t="s">
        <v>291</v>
      </c>
      <c r="D81" s="9" t="s">
        <v>292</v>
      </c>
      <c r="E81" s="10" t="n">
        <v>1200</v>
      </c>
      <c r="F81" s="17" t="s">
        <v>83</v>
      </c>
      <c r="G81" s="9" t="s">
        <v>293</v>
      </c>
      <c r="H81" s="12" t="n">
        <f aca="false">IF(D81="Consumables",Settings!$B$4,Settings!$B$3)</f>
        <v>0.15</v>
      </c>
      <c r="I81" s="13" t="n">
        <f aca="false">E81*Settings!$B$2*(1+H81)</f>
        <v>22714.8</v>
      </c>
      <c r="J81" s="14" t="n">
        <f aca="false">Settings!$B$5</f>
        <v>0.375</v>
      </c>
      <c r="K81" s="13" t="n">
        <f aca="false">CEILING(I81*(1+J81),Settings!$B$6)</f>
        <v>31250</v>
      </c>
      <c r="L81" s="13" t="n">
        <f aca="false">K81-I81</f>
        <v>8535.2</v>
      </c>
      <c r="M81" s="14" t="n">
        <f aca="false">IF(K81=0,0,L81/K81)</f>
        <v>0.2731264</v>
      </c>
      <c r="N81" s="15" t="s">
        <v>294</v>
      </c>
    </row>
    <row r="82" customFormat="false" ht="15" hidden="false" customHeight="false" outlineLevel="0" collapsed="false">
      <c r="A82" s="9" t="n">
        <v>60</v>
      </c>
      <c r="B82" s="9" t="s">
        <v>295</v>
      </c>
      <c r="C82" s="9" t="s">
        <v>296</v>
      </c>
      <c r="D82" s="9" t="s">
        <v>292</v>
      </c>
      <c r="E82" s="10" t="n">
        <v>1100</v>
      </c>
      <c r="F82" s="11" t="s">
        <v>33</v>
      </c>
      <c r="G82" s="9" t="s">
        <v>297</v>
      </c>
      <c r="H82" s="12" t="n">
        <f aca="false">IF(D82="Consumables",Settings!$B$4,Settings!$B$3)</f>
        <v>0.15</v>
      </c>
      <c r="I82" s="13" t="n">
        <f aca="false">E82*Settings!$B$2*(1+H82)</f>
        <v>20821.9</v>
      </c>
      <c r="J82" s="14" t="n">
        <f aca="false">Settings!$B$5</f>
        <v>0.375</v>
      </c>
      <c r="K82" s="13" t="n">
        <f aca="false">CEILING(I82*(1+J82),Settings!$B$6)</f>
        <v>28650</v>
      </c>
      <c r="L82" s="13" t="n">
        <f aca="false">K82-I82</f>
        <v>7828.1</v>
      </c>
      <c r="M82" s="14" t="n">
        <f aca="false">IF(K82=0,0,L82/K82)</f>
        <v>0.273232111692845</v>
      </c>
      <c r="N82" s="15" t="s">
        <v>298</v>
      </c>
    </row>
    <row r="83" customFormat="false" ht="15" hidden="false" customHeight="false" outlineLevel="0" collapsed="false">
      <c r="A83" s="9" t="n">
        <v>61</v>
      </c>
      <c r="B83" s="9" t="s">
        <v>299</v>
      </c>
      <c r="C83" s="9" t="s">
        <v>300</v>
      </c>
      <c r="D83" s="9" t="s">
        <v>292</v>
      </c>
      <c r="E83" s="10" t="n">
        <v>1400</v>
      </c>
      <c r="F83" s="11" t="s">
        <v>33</v>
      </c>
      <c r="G83" s="9" t="s">
        <v>297</v>
      </c>
      <c r="H83" s="12" t="n">
        <f aca="false">IF(D83="Consumables",Settings!$B$4,Settings!$B$3)</f>
        <v>0.15</v>
      </c>
      <c r="I83" s="13" t="n">
        <f aca="false">E83*Settings!$B$2*(1+H83)</f>
        <v>26500.6</v>
      </c>
      <c r="J83" s="14" t="n">
        <f aca="false">Settings!$B$5</f>
        <v>0.375</v>
      </c>
      <c r="K83" s="13" t="n">
        <f aca="false">CEILING(I83*(1+J83),Settings!$B$6)</f>
        <v>36450</v>
      </c>
      <c r="L83" s="13" t="n">
        <f aca="false">K83-I83</f>
        <v>9949.4</v>
      </c>
      <c r="M83" s="14" t="n">
        <f aca="false">IF(K83=0,0,L83/K83)</f>
        <v>0.272960219478738</v>
      </c>
      <c r="N83" s="15" t="s">
        <v>301</v>
      </c>
    </row>
    <row r="84" customFormat="false" ht="15" hidden="false" customHeight="false" outlineLevel="0" collapsed="false">
      <c r="A84" s="9" t="n">
        <v>62</v>
      </c>
      <c r="B84" s="9" t="s">
        <v>302</v>
      </c>
      <c r="C84" s="9" t="s">
        <v>303</v>
      </c>
      <c r="D84" s="9" t="s">
        <v>292</v>
      </c>
      <c r="E84" s="10" t="n">
        <v>1400</v>
      </c>
      <c r="F84" s="11" t="s">
        <v>33</v>
      </c>
      <c r="G84" s="9" t="s">
        <v>297</v>
      </c>
      <c r="H84" s="12" t="n">
        <f aca="false">IF(D84="Consumables",Settings!$B$4,Settings!$B$3)</f>
        <v>0.15</v>
      </c>
      <c r="I84" s="13" t="n">
        <f aca="false">E84*Settings!$B$2*(1+H84)</f>
        <v>26500.6</v>
      </c>
      <c r="J84" s="14" t="n">
        <f aca="false">Settings!$B$5</f>
        <v>0.375</v>
      </c>
      <c r="K84" s="13" t="n">
        <f aca="false">CEILING(I84*(1+J84),Settings!$B$6)</f>
        <v>36450</v>
      </c>
      <c r="L84" s="13" t="n">
        <f aca="false">K84-I84</f>
        <v>9949.4</v>
      </c>
      <c r="M84" s="14" t="n">
        <f aca="false">IF(K84=0,0,L84/K84)</f>
        <v>0.272960219478738</v>
      </c>
      <c r="N84" s="15" t="s">
        <v>304</v>
      </c>
    </row>
    <row r="85" customFormat="false" ht="15" hidden="false" customHeight="false" outlineLevel="0" collapsed="false">
      <c r="A85" s="9" t="n">
        <v>63</v>
      </c>
      <c r="B85" s="9" t="s">
        <v>305</v>
      </c>
      <c r="C85" s="9" t="s">
        <v>306</v>
      </c>
      <c r="D85" s="9" t="s">
        <v>292</v>
      </c>
      <c r="E85" s="10" t="n">
        <v>900</v>
      </c>
      <c r="F85" s="11" t="s">
        <v>33</v>
      </c>
      <c r="G85" s="9" t="s">
        <v>297</v>
      </c>
      <c r="H85" s="12" t="n">
        <f aca="false">IF(D85="Consumables",Settings!$B$4,Settings!$B$3)</f>
        <v>0.15</v>
      </c>
      <c r="I85" s="13" t="n">
        <f aca="false">E85*Settings!$B$2*(1+H85)</f>
        <v>17036.1</v>
      </c>
      <c r="J85" s="14" t="n">
        <f aca="false">Settings!$B$5</f>
        <v>0.375</v>
      </c>
      <c r="K85" s="13" t="n">
        <f aca="false">CEILING(I85*(1+J85),Settings!$B$6)</f>
        <v>23450</v>
      </c>
      <c r="L85" s="13" t="n">
        <f aca="false">K85-I85</f>
        <v>6413.9</v>
      </c>
      <c r="M85" s="14" t="n">
        <f aca="false">IF(K85=0,0,L85/K85)</f>
        <v>0.273513859275053</v>
      </c>
      <c r="N85" s="15" t="s">
        <v>307</v>
      </c>
    </row>
    <row r="86" customFormat="false" ht="15" hidden="false" customHeight="false" outlineLevel="0" collapsed="false">
      <c r="A86" s="9" t="n">
        <v>64</v>
      </c>
      <c r="B86" s="9" t="s">
        <v>308</v>
      </c>
      <c r="C86" s="9" t="s">
        <v>309</v>
      </c>
      <c r="D86" s="9" t="s">
        <v>292</v>
      </c>
      <c r="E86" s="10" t="n">
        <v>900</v>
      </c>
      <c r="F86" s="11" t="s">
        <v>33</v>
      </c>
      <c r="G86" s="9" t="s">
        <v>297</v>
      </c>
      <c r="H86" s="12" t="n">
        <f aca="false">IF(D86="Consumables",Settings!$B$4,Settings!$B$3)</f>
        <v>0.15</v>
      </c>
      <c r="I86" s="13" t="n">
        <f aca="false">E86*Settings!$B$2*(1+H86)</f>
        <v>17036.1</v>
      </c>
      <c r="J86" s="14" t="n">
        <f aca="false">Settings!$B$5</f>
        <v>0.375</v>
      </c>
      <c r="K86" s="13" t="n">
        <f aca="false">CEILING(I86*(1+J86),Settings!$B$6)</f>
        <v>23450</v>
      </c>
      <c r="L86" s="13" t="n">
        <f aca="false">K86-I86</f>
        <v>6413.9</v>
      </c>
      <c r="M86" s="14" t="n">
        <f aca="false">IF(K86=0,0,L86/K86)</f>
        <v>0.273513859275053</v>
      </c>
      <c r="N86" s="15" t="s">
        <v>310</v>
      </c>
    </row>
    <row r="87" customFormat="false" ht="15" hidden="false" customHeight="false" outlineLevel="0" collapsed="false">
      <c r="A87" s="9" t="n">
        <v>65</v>
      </c>
      <c r="B87" s="9" t="s">
        <v>311</v>
      </c>
      <c r="C87" s="9" t="s">
        <v>312</v>
      </c>
      <c r="D87" s="9" t="s">
        <v>292</v>
      </c>
      <c r="E87" s="10" t="n">
        <v>600</v>
      </c>
      <c r="F87" s="11" t="s">
        <v>33</v>
      </c>
      <c r="G87" s="9" t="s">
        <v>297</v>
      </c>
      <c r="H87" s="12" t="n">
        <f aca="false">IF(D87="Consumables",Settings!$B$4,Settings!$B$3)</f>
        <v>0.15</v>
      </c>
      <c r="I87" s="13" t="n">
        <f aca="false">E87*Settings!$B$2*(1+H87)</f>
        <v>11357.4</v>
      </c>
      <c r="J87" s="14" t="n">
        <f aca="false">Settings!$B$5</f>
        <v>0.375</v>
      </c>
      <c r="K87" s="13" t="n">
        <f aca="false">CEILING(I87*(1+J87),Settings!$B$6)</f>
        <v>15650</v>
      </c>
      <c r="L87" s="13" t="n">
        <f aca="false">K87-I87</f>
        <v>4292.6</v>
      </c>
      <c r="M87" s="14" t="n">
        <f aca="false">IF(K87=0,0,L87/K87)</f>
        <v>0.274287539936102</v>
      </c>
      <c r="N87" s="15" t="s">
        <v>313</v>
      </c>
    </row>
    <row r="88" customFormat="false" ht="15" hidden="false" customHeight="false" outlineLevel="0" collapsed="false">
      <c r="A88" s="9" t="n">
        <v>66</v>
      </c>
      <c r="B88" s="9" t="s">
        <v>314</v>
      </c>
      <c r="C88" s="9" t="s">
        <v>315</v>
      </c>
      <c r="D88" s="9" t="s">
        <v>292</v>
      </c>
      <c r="E88" s="10" t="n">
        <v>1400</v>
      </c>
      <c r="F88" s="17" t="s">
        <v>83</v>
      </c>
      <c r="G88" s="9" t="s">
        <v>316</v>
      </c>
      <c r="H88" s="12" t="n">
        <f aca="false">IF(D88="Consumables",Settings!$B$4,Settings!$B$3)</f>
        <v>0.15</v>
      </c>
      <c r="I88" s="13" t="n">
        <f aca="false">E88*Settings!$B$2*(1+H88)</f>
        <v>26500.6</v>
      </c>
      <c r="J88" s="14" t="n">
        <f aca="false">Settings!$B$5</f>
        <v>0.375</v>
      </c>
      <c r="K88" s="13" t="n">
        <f aca="false">CEILING(I88*(1+J88),Settings!$B$6)</f>
        <v>36450</v>
      </c>
      <c r="L88" s="13" t="n">
        <f aca="false">K88-I88</f>
        <v>9949.4</v>
      </c>
      <c r="M88" s="14" t="n">
        <f aca="false">IF(K88=0,0,L88/K88)</f>
        <v>0.272960219478738</v>
      </c>
      <c r="N88" s="15" t="s">
        <v>317</v>
      </c>
    </row>
    <row r="89" customFormat="false" ht="15" hidden="false" customHeight="false" outlineLevel="0" collapsed="false">
      <c r="A89" s="9" t="n">
        <v>143</v>
      </c>
      <c r="B89" s="9" t="s">
        <v>318</v>
      </c>
      <c r="C89" s="9" t="s">
        <v>319</v>
      </c>
      <c r="D89" s="9" t="s">
        <v>292</v>
      </c>
      <c r="E89" s="10" t="n">
        <v>90</v>
      </c>
      <c r="F89" s="11" t="s">
        <v>33</v>
      </c>
      <c r="G89" s="9" t="s">
        <v>320</v>
      </c>
      <c r="H89" s="12" t="n">
        <f aca="false">IF(D89="Consumables",Settings!$B$4,Settings!$B$3)</f>
        <v>0.15</v>
      </c>
      <c r="I89" s="13" t="n">
        <f aca="false">E89*Settings!$B$2*(1+H89)</f>
        <v>1703.61</v>
      </c>
      <c r="J89" s="14" t="n">
        <f aca="false">Settings!$B$5</f>
        <v>0.375</v>
      </c>
      <c r="K89" s="13" t="n">
        <f aca="false">CEILING(I89*(1+J89),Settings!$B$6)</f>
        <v>2350</v>
      </c>
      <c r="L89" s="13" t="n">
        <f aca="false">K89-I89</f>
        <v>646.39</v>
      </c>
      <c r="M89" s="14" t="n">
        <f aca="false">IF(K89=0,0,L89/K89)</f>
        <v>0.275059574468085</v>
      </c>
      <c r="N89" s="15" t="s">
        <v>321</v>
      </c>
    </row>
    <row r="90" customFormat="false" ht="15" hidden="false" customHeight="false" outlineLevel="0" collapsed="false">
      <c r="A90" s="9" t="n">
        <v>144</v>
      </c>
      <c r="B90" s="9" t="s">
        <v>322</v>
      </c>
      <c r="C90" s="9" t="s">
        <v>323</v>
      </c>
      <c r="D90" s="9" t="s">
        <v>292</v>
      </c>
      <c r="E90" s="10" t="n">
        <v>180</v>
      </c>
      <c r="F90" s="11" t="s">
        <v>33</v>
      </c>
      <c r="G90" s="9" t="s">
        <v>320</v>
      </c>
      <c r="H90" s="12" t="n">
        <f aca="false">IF(D90="Consumables",Settings!$B$4,Settings!$B$3)</f>
        <v>0.15</v>
      </c>
      <c r="I90" s="13" t="n">
        <f aca="false">E90*Settings!$B$2*(1+H90)</f>
        <v>3407.22</v>
      </c>
      <c r="J90" s="14" t="n">
        <f aca="false">Settings!$B$5</f>
        <v>0.375</v>
      </c>
      <c r="K90" s="13" t="n">
        <f aca="false">CEILING(I90*(1+J90),Settings!$B$6)</f>
        <v>4700</v>
      </c>
      <c r="L90" s="13" t="n">
        <f aca="false">K90-I90</f>
        <v>1292.78</v>
      </c>
      <c r="M90" s="14" t="n">
        <f aca="false">IF(K90=0,0,L90/K90)</f>
        <v>0.275059574468085</v>
      </c>
      <c r="N90" s="15" t="s">
        <v>324</v>
      </c>
    </row>
    <row r="91" customFormat="false" ht="15" hidden="false" customHeight="false" outlineLevel="0" collapsed="false">
      <c r="A91" s="9" t="n">
        <v>145</v>
      </c>
      <c r="B91" s="9" t="s">
        <v>325</v>
      </c>
      <c r="C91" s="9" t="s">
        <v>326</v>
      </c>
      <c r="D91" s="9" t="s">
        <v>292</v>
      </c>
      <c r="E91" s="10" t="n">
        <v>180</v>
      </c>
      <c r="F91" s="11" t="s">
        <v>33</v>
      </c>
      <c r="G91" s="9" t="s">
        <v>320</v>
      </c>
      <c r="H91" s="12" t="n">
        <f aca="false">IF(D91="Consumables",Settings!$B$4,Settings!$B$3)</f>
        <v>0.15</v>
      </c>
      <c r="I91" s="13" t="n">
        <f aca="false">E91*Settings!$B$2*(1+H91)</f>
        <v>3407.22</v>
      </c>
      <c r="J91" s="14" t="n">
        <f aca="false">Settings!$B$5</f>
        <v>0.375</v>
      </c>
      <c r="K91" s="13" t="n">
        <f aca="false">CEILING(I91*(1+J91),Settings!$B$6)</f>
        <v>4700</v>
      </c>
      <c r="L91" s="13" t="n">
        <f aca="false">K91-I91</f>
        <v>1292.78</v>
      </c>
      <c r="M91" s="14" t="n">
        <f aca="false">IF(K91=0,0,L91/K91)</f>
        <v>0.275059574468085</v>
      </c>
      <c r="N91" s="15" t="s">
        <v>327</v>
      </c>
    </row>
    <row r="92" customFormat="false" ht="15" hidden="false" customHeight="false" outlineLevel="0" collapsed="false">
      <c r="A92" s="9" t="n">
        <v>146</v>
      </c>
      <c r="B92" s="9" t="s">
        <v>328</v>
      </c>
      <c r="C92" s="9" t="s">
        <v>329</v>
      </c>
      <c r="D92" s="9" t="s">
        <v>292</v>
      </c>
      <c r="E92" s="10" t="n">
        <v>230</v>
      </c>
      <c r="F92" s="11" t="s">
        <v>33</v>
      </c>
      <c r="G92" s="9" t="s">
        <v>320</v>
      </c>
      <c r="H92" s="12" t="n">
        <f aca="false">IF(D92="Consumables",Settings!$B$4,Settings!$B$3)</f>
        <v>0.15</v>
      </c>
      <c r="I92" s="13" t="n">
        <f aca="false">E92*Settings!$B$2*(1+H92)</f>
        <v>4353.67</v>
      </c>
      <c r="J92" s="14" t="n">
        <f aca="false">Settings!$B$5</f>
        <v>0.375</v>
      </c>
      <c r="K92" s="13" t="n">
        <f aca="false">CEILING(I92*(1+J92),Settings!$B$6)</f>
        <v>6000</v>
      </c>
      <c r="L92" s="13" t="n">
        <f aca="false">K92-I92</f>
        <v>1646.33</v>
      </c>
      <c r="M92" s="14" t="n">
        <f aca="false">IF(K92=0,0,L92/K92)</f>
        <v>0.274388333333333</v>
      </c>
      <c r="N92" s="15" t="s">
        <v>330</v>
      </c>
    </row>
    <row r="93" customFormat="false" ht="15" hidden="false" customHeight="false" outlineLevel="0" collapsed="false">
      <c r="A93" s="9" t="n">
        <v>147</v>
      </c>
      <c r="B93" s="9" t="s">
        <v>331</v>
      </c>
      <c r="C93" s="9" t="s">
        <v>332</v>
      </c>
      <c r="D93" s="9" t="s">
        <v>292</v>
      </c>
      <c r="E93" s="10" t="n">
        <v>230</v>
      </c>
      <c r="F93" s="11" t="s">
        <v>33</v>
      </c>
      <c r="G93" s="9" t="s">
        <v>320</v>
      </c>
      <c r="H93" s="12" t="n">
        <f aca="false">IF(D93="Consumables",Settings!$B$4,Settings!$B$3)</f>
        <v>0.15</v>
      </c>
      <c r="I93" s="13" t="n">
        <f aca="false">E93*Settings!$B$2*(1+H93)</f>
        <v>4353.67</v>
      </c>
      <c r="J93" s="14" t="n">
        <f aca="false">Settings!$B$5</f>
        <v>0.375</v>
      </c>
      <c r="K93" s="13" t="n">
        <f aca="false">CEILING(I93*(1+J93),Settings!$B$6)</f>
        <v>6000</v>
      </c>
      <c r="L93" s="13" t="n">
        <f aca="false">K93-I93</f>
        <v>1646.33</v>
      </c>
      <c r="M93" s="14" t="n">
        <f aca="false">IF(K93=0,0,L93/K93)</f>
        <v>0.274388333333333</v>
      </c>
      <c r="N93" s="15" t="s">
        <v>333</v>
      </c>
    </row>
    <row r="94" customFormat="false" ht="15" hidden="false" customHeight="false" outlineLevel="0" collapsed="false">
      <c r="A94" s="9" t="n">
        <v>148</v>
      </c>
      <c r="B94" s="9" t="s">
        <v>334</v>
      </c>
      <c r="C94" s="9" t="s">
        <v>335</v>
      </c>
      <c r="D94" s="9" t="s">
        <v>292</v>
      </c>
      <c r="E94" s="10" t="n">
        <v>200</v>
      </c>
      <c r="F94" s="11" t="s">
        <v>33</v>
      </c>
      <c r="G94" s="9" t="s">
        <v>320</v>
      </c>
      <c r="H94" s="12" t="n">
        <f aca="false">IF(D94="Consumables",Settings!$B$4,Settings!$B$3)</f>
        <v>0.15</v>
      </c>
      <c r="I94" s="13" t="n">
        <f aca="false">E94*Settings!$B$2*(1+H94)</f>
        <v>3785.8</v>
      </c>
      <c r="J94" s="14" t="n">
        <f aca="false">Settings!$B$5</f>
        <v>0.375</v>
      </c>
      <c r="K94" s="13" t="n">
        <f aca="false">CEILING(I94*(1+J94),Settings!$B$6)</f>
        <v>5250</v>
      </c>
      <c r="L94" s="13" t="n">
        <f aca="false">K94-I94</f>
        <v>1464.2</v>
      </c>
      <c r="M94" s="14" t="n">
        <f aca="false">IF(K94=0,0,L94/K94)</f>
        <v>0.278895238095238</v>
      </c>
      <c r="N94" s="15" t="s">
        <v>336</v>
      </c>
    </row>
    <row r="95" customFormat="false" ht="15" hidden="false" customHeight="false" outlineLevel="0" collapsed="false">
      <c r="A95" s="9" t="n">
        <v>149</v>
      </c>
      <c r="B95" s="9" t="s">
        <v>337</v>
      </c>
      <c r="C95" s="9" t="s">
        <v>338</v>
      </c>
      <c r="D95" s="9" t="s">
        <v>292</v>
      </c>
      <c r="E95" s="10" t="n">
        <v>230</v>
      </c>
      <c r="F95" s="11" t="s">
        <v>33</v>
      </c>
      <c r="G95" s="9" t="s">
        <v>320</v>
      </c>
      <c r="H95" s="12" t="n">
        <f aca="false">IF(D95="Consumables",Settings!$B$4,Settings!$B$3)</f>
        <v>0.15</v>
      </c>
      <c r="I95" s="13" t="n">
        <f aca="false">E95*Settings!$B$2*(1+H95)</f>
        <v>4353.67</v>
      </c>
      <c r="J95" s="14" t="n">
        <f aca="false">Settings!$B$5</f>
        <v>0.375</v>
      </c>
      <c r="K95" s="13" t="n">
        <f aca="false">CEILING(I95*(1+J95),Settings!$B$6)</f>
        <v>6000</v>
      </c>
      <c r="L95" s="13" t="n">
        <f aca="false">K95-I95</f>
        <v>1646.33</v>
      </c>
      <c r="M95" s="14" t="n">
        <f aca="false">IF(K95=0,0,L95/K95)</f>
        <v>0.274388333333333</v>
      </c>
      <c r="N95" s="15" t="s">
        <v>339</v>
      </c>
    </row>
    <row r="96" customFormat="false" ht="15" hidden="false" customHeight="false" outlineLevel="0" collapsed="false">
      <c r="A96" s="9" t="n">
        <v>150</v>
      </c>
      <c r="B96" s="9" t="s">
        <v>340</v>
      </c>
      <c r="C96" s="9" t="s">
        <v>341</v>
      </c>
      <c r="D96" s="9" t="s">
        <v>292</v>
      </c>
      <c r="E96" s="10" t="n">
        <v>260</v>
      </c>
      <c r="F96" s="11" t="s">
        <v>33</v>
      </c>
      <c r="G96" s="9" t="s">
        <v>320</v>
      </c>
      <c r="H96" s="12" t="n">
        <f aca="false">IF(D96="Consumables",Settings!$B$4,Settings!$B$3)</f>
        <v>0.15</v>
      </c>
      <c r="I96" s="13" t="n">
        <f aca="false">E96*Settings!$B$2*(1+H96)</f>
        <v>4921.54</v>
      </c>
      <c r="J96" s="14" t="n">
        <f aca="false">Settings!$B$5</f>
        <v>0.375</v>
      </c>
      <c r="K96" s="13" t="n">
        <f aca="false">CEILING(I96*(1+J96),Settings!$B$6)</f>
        <v>6800</v>
      </c>
      <c r="L96" s="13" t="n">
        <f aca="false">K96-I96</f>
        <v>1878.46</v>
      </c>
      <c r="M96" s="14" t="n">
        <f aca="false">IF(K96=0,0,L96/K96)</f>
        <v>0.276244117647059</v>
      </c>
      <c r="N96" s="15" t="s">
        <v>342</v>
      </c>
    </row>
    <row r="97" customFormat="false" ht="15" hidden="false" customHeight="false" outlineLevel="0" collapsed="false">
      <c r="A97" s="9" t="n">
        <v>151</v>
      </c>
      <c r="B97" s="9" t="s">
        <v>343</v>
      </c>
      <c r="C97" s="9" t="s">
        <v>344</v>
      </c>
      <c r="D97" s="9" t="s">
        <v>292</v>
      </c>
      <c r="E97" s="10" t="n">
        <v>280</v>
      </c>
      <c r="F97" s="11" t="s">
        <v>33</v>
      </c>
      <c r="G97" s="9" t="s">
        <v>320</v>
      </c>
      <c r="H97" s="12" t="n">
        <f aca="false">IF(D97="Consumables",Settings!$B$4,Settings!$B$3)</f>
        <v>0.15</v>
      </c>
      <c r="I97" s="13" t="n">
        <f aca="false">E97*Settings!$B$2*(1+H97)</f>
        <v>5300.12</v>
      </c>
      <c r="J97" s="14" t="n">
        <f aca="false">Settings!$B$5</f>
        <v>0.375</v>
      </c>
      <c r="K97" s="13" t="n">
        <f aca="false">CEILING(I97*(1+J97),Settings!$B$6)</f>
        <v>7300</v>
      </c>
      <c r="L97" s="13" t="n">
        <f aca="false">K97-I97</f>
        <v>1999.88</v>
      </c>
      <c r="M97" s="14" t="n">
        <f aca="false">IF(K97=0,0,L97/K97)</f>
        <v>0.273956164383562</v>
      </c>
      <c r="N97" s="15" t="s">
        <v>345</v>
      </c>
    </row>
    <row r="98" customFormat="false" ht="15" hidden="false" customHeight="false" outlineLevel="0" collapsed="false">
      <c r="A98" s="9" t="n">
        <v>152</v>
      </c>
      <c r="B98" s="9" t="s">
        <v>346</v>
      </c>
      <c r="C98" s="9" t="s">
        <v>347</v>
      </c>
      <c r="D98" s="9" t="s">
        <v>292</v>
      </c>
      <c r="E98" s="10" t="n">
        <v>450</v>
      </c>
      <c r="F98" s="11" t="s">
        <v>33</v>
      </c>
      <c r="G98" s="9" t="s">
        <v>320</v>
      </c>
      <c r="H98" s="12" t="n">
        <f aca="false">IF(D98="Consumables",Settings!$B$4,Settings!$B$3)</f>
        <v>0.15</v>
      </c>
      <c r="I98" s="13" t="n">
        <f aca="false">E98*Settings!$B$2*(1+H98)</f>
        <v>8518.05</v>
      </c>
      <c r="J98" s="14" t="n">
        <f aca="false">Settings!$B$5</f>
        <v>0.375</v>
      </c>
      <c r="K98" s="13" t="n">
        <f aca="false">CEILING(I98*(1+J98),Settings!$B$6)</f>
        <v>11750</v>
      </c>
      <c r="L98" s="13" t="n">
        <f aca="false">K98-I98</f>
        <v>3231.95</v>
      </c>
      <c r="M98" s="14" t="n">
        <f aca="false">IF(K98=0,0,L98/K98)</f>
        <v>0.275059574468085</v>
      </c>
      <c r="N98" s="15" t="s">
        <v>348</v>
      </c>
    </row>
    <row r="99" customFormat="false" ht="15" hidden="false" customHeight="false" outlineLevel="0" collapsed="false">
      <c r="A99" s="9" t="n">
        <v>153</v>
      </c>
      <c r="B99" s="9" t="s">
        <v>349</v>
      </c>
      <c r="C99" s="9" t="s">
        <v>350</v>
      </c>
      <c r="D99" s="9" t="s">
        <v>292</v>
      </c>
      <c r="E99" s="10" t="n">
        <v>520</v>
      </c>
      <c r="F99" s="11" t="s">
        <v>33</v>
      </c>
      <c r="G99" s="9" t="s">
        <v>320</v>
      </c>
      <c r="H99" s="12" t="n">
        <f aca="false">IF(D99="Consumables",Settings!$B$4,Settings!$B$3)</f>
        <v>0.15</v>
      </c>
      <c r="I99" s="13" t="n">
        <f aca="false">E99*Settings!$B$2*(1+H99)</f>
        <v>9843.08</v>
      </c>
      <c r="J99" s="14" t="n">
        <f aca="false">Settings!$B$5</f>
        <v>0.375</v>
      </c>
      <c r="K99" s="13" t="n">
        <f aca="false">CEILING(I99*(1+J99),Settings!$B$6)</f>
        <v>13550</v>
      </c>
      <c r="L99" s="13" t="n">
        <f aca="false">K99-I99</f>
        <v>3706.92</v>
      </c>
      <c r="M99" s="14" t="n">
        <f aca="false">IF(K99=0,0,L99/K99)</f>
        <v>0.273573431734317</v>
      </c>
      <c r="N99" s="15" t="s">
        <v>351</v>
      </c>
    </row>
    <row r="100" customFormat="false" ht="15" hidden="false" customHeight="false" outlineLevel="0" collapsed="false">
      <c r="A100" s="9" t="n">
        <v>154</v>
      </c>
      <c r="B100" s="9" t="s">
        <v>295</v>
      </c>
      <c r="C100" s="9" t="s">
        <v>352</v>
      </c>
      <c r="D100" s="9" t="s">
        <v>292</v>
      </c>
      <c r="E100" s="10" t="n">
        <v>600</v>
      </c>
      <c r="F100" s="11" t="s">
        <v>33</v>
      </c>
      <c r="G100" s="9" t="s">
        <v>320</v>
      </c>
      <c r="H100" s="12" t="n">
        <f aca="false">IF(D100="Consumables",Settings!$B$4,Settings!$B$3)</f>
        <v>0.15</v>
      </c>
      <c r="I100" s="13" t="n">
        <f aca="false">E100*Settings!$B$2*(1+H100)</f>
        <v>11357.4</v>
      </c>
      <c r="J100" s="14" t="n">
        <f aca="false">Settings!$B$5</f>
        <v>0.375</v>
      </c>
      <c r="K100" s="13" t="n">
        <f aca="false">CEILING(I100*(1+J100),Settings!$B$6)</f>
        <v>15650</v>
      </c>
      <c r="L100" s="13" t="n">
        <f aca="false">K100-I100</f>
        <v>4292.6</v>
      </c>
      <c r="M100" s="14" t="n">
        <f aca="false">IF(K100=0,0,L100/K100)</f>
        <v>0.274287539936102</v>
      </c>
      <c r="N100" s="15" t="s">
        <v>353</v>
      </c>
    </row>
    <row r="101" customFormat="false" ht="15" hidden="false" customHeight="false" outlineLevel="0" collapsed="false">
      <c r="A101" s="9" t="n">
        <v>155</v>
      </c>
      <c r="B101" s="9" t="s">
        <v>354</v>
      </c>
      <c r="C101" s="9" t="s">
        <v>355</v>
      </c>
      <c r="D101" s="9" t="s">
        <v>292</v>
      </c>
      <c r="E101" s="10" t="n">
        <v>480</v>
      </c>
      <c r="F101" s="11" t="s">
        <v>33</v>
      </c>
      <c r="G101" s="9" t="s">
        <v>320</v>
      </c>
      <c r="H101" s="12" t="n">
        <f aca="false">IF(D101="Consumables",Settings!$B$4,Settings!$B$3)</f>
        <v>0.15</v>
      </c>
      <c r="I101" s="13" t="n">
        <f aca="false">E101*Settings!$B$2*(1+H101)</f>
        <v>9085.92</v>
      </c>
      <c r="J101" s="14" t="n">
        <f aca="false">Settings!$B$5</f>
        <v>0.375</v>
      </c>
      <c r="K101" s="13" t="n">
        <f aca="false">CEILING(I101*(1+J101),Settings!$B$6)</f>
        <v>12500</v>
      </c>
      <c r="L101" s="13" t="n">
        <f aca="false">K101-I101</f>
        <v>3414.08</v>
      </c>
      <c r="M101" s="14" t="n">
        <f aca="false">IF(K101=0,0,L101/K101)</f>
        <v>0.2731264</v>
      </c>
      <c r="N101" s="15" t="s">
        <v>356</v>
      </c>
    </row>
    <row r="102" customFormat="false" ht="15" hidden="false" customHeight="false" outlineLevel="0" collapsed="false">
      <c r="A102" s="9" t="n">
        <v>156</v>
      </c>
      <c r="B102" s="9" t="s">
        <v>357</v>
      </c>
      <c r="C102" s="9" t="s">
        <v>358</v>
      </c>
      <c r="D102" s="9" t="s">
        <v>292</v>
      </c>
      <c r="E102" s="10" t="n">
        <v>520</v>
      </c>
      <c r="F102" s="11" t="s">
        <v>33</v>
      </c>
      <c r="G102" s="9" t="s">
        <v>320</v>
      </c>
      <c r="H102" s="12" t="n">
        <f aca="false">IF(D102="Consumables",Settings!$B$4,Settings!$B$3)</f>
        <v>0.15</v>
      </c>
      <c r="I102" s="13" t="n">
        <f aca="false">E102*Settings!$B$2*(1+H102)</f>
        <v>9843.08</v>
      </c>
      <c r="J102" s="14" t="n">
        <f aca="false">Settings!$B$5</f>
        <v>0.375</v>
      </c>
      <c r="K102" s="13" t="n">
        <f aca="false">CEILING(I102*(1+J102),Settings!$B$6)</f>
        <v>13550</v>
      </c>
      <c r="L102" s="13" t="n">
        <f aca="false">K102-I102</f>
        <v>3706.92</v>
      </c>
      <c r="M102" s="14" t="n">
        <f aca="false">IF(K102=0,0,L102/K102)</f>
        <v>0.273573431734317</v>
      </c>
      <c r="N102" s="15" t="s">
        <v>359</v>
      </c>
    </row>
    <row r="103" customFormat="false" ht="15" hidden="false" customHeight="false" outlineLevel="0" collapsed="false">
      <c r="A103" s="9" t="n">
        <v>157</v>
      </c>
      <c r="B103" s="9" t="s">
        <v>360</v>
      </c>
      <c r="C103" s="9" t="s">
        <v>361</v>
      </c>
      <c r="D103" s="9" t="s">
        <v>292</v>
      </c>
      <c r="E103" s="10" t="n">
        <v>420</v>
      </c>
      <c r="F103" s="11" t="s">
        <v>33</v>
      </c>
      <c r="G103" s="9" t="s">
        <v>320</v>
      </c>
      <c r="H103" s="12" t="n">
        <f aca="false">IF(D103="Consumables",Settings!$B$4,Settings!$B$3)</f>
        <v>0.15</v>
      </c>
      <c r="I103" s="13" t="n">
        <f aca="false">E103*Settings!$B$2*(1+H103)</f>
        <v>7950.18</v>
      </c>
      <c r="J103" s="14" t="n">
        <f aca="false">Settings!$B$5</f>
        <v>0.375</v>
      </c>
      <c r="K103" s="13" t="n">
        <f aca="false">CEILING(I103*(1+J103),Settings!$B$6)</f>
        <v>10950</v>
      </c>
      <c r="L103" s="13" t="n">
        <f aca="false">K103-I103</f>
        <v>2999.82</v>
      </c>
      <c r="M103" s="14" t="n">
        <f aca="false">IF(K103=0,0,L103/K103)</f>
        <v>0.273956164383562</v>
      </c>
      <c r="N103" s="15" t="s">
        <v>362</v>
      </c>
    </row>
    <row r="104" customFormat="false" ht="15" hidden="false" customHeight="false" outlineLevel="0" collapsed="false">
      <c r="A104" s="9" t="n">
        <v>158</v>
      </c>
      <c r="B104" s="9" t="s">
        <v>363</v>
      </c>
      <c r="C104" s="9" t="s">
        <v>364</v>
      </c>
      <c r="D104" s="9" t="s">
        <v>292</v>
      </c>
      <c r="E104" s="10" t="n">
        <v>350</v>
      </c>
      <c r="F104" s="11" t="s">
        <v>33</v>
      </c>
      <c r="G104" s="9" t="s">
        <v>320</v>
      </c>
      <c r="H104" s="12" t="n">
        <f aca="false">IF(D104="Consumables",Settings!$B$4,Settings!$B$3)</f>
        <v>0.15</v>
      </c>
      <c r="I104" s="13" t="n">
        <f aca="false">E104*Settings!$B$2*(1+H104)</f>
        <v>6625.15</v>
      </c>
      <c r="J104" s="14" t="n">
        <f aca="false">Settings!$B$5</f>
        <v>0.375</v>
      </c>
      <c r="K104" s="13" t="n">
        <f aca="false">CEILING(I104*(1+J104),Settings!$B$6)</f>
        <v>9150</v>
      </c>
      <c r="L104" s="13" t="n">
        <f aca="false">K104-I104</f>
        <v>2524.85</v>
      </c>
      <c r="M104" s="14" t="n">
        <f aca="false">IF(K104=0,0,L104/K104)</f>
        <v>0.275939890710383</v>
      </c>
      <c r="N104" s="15" t="s">
        <v>365</v>
      </c>
    </row>
    <row r="105" customFormat="false" ht="15" hidden="false" customHeight="false" outlineLevel="0" collapsed="false">
      <c r="A105" s="9" t="n">
        <v>123</v>
      </c>
      <c r="B105" s="9" t="s">
        <v>366</v>
      </c>
      <c r="C105" s="9" t="s">
        <v>367</v>
      </c>
      <c r="D105" s="9" t="s">
        <v>368</v>
      </c>
      <c r="E105" s="10" t="n">
        <v>750</v>
      </c>
      <c r="F105" s="11" t="s">
        <v>33</v>
      </c>
      <c r="G105" s="9" t="s">
        <v>369</v>
      </c>
      <c r="H105" s="12" t="n">
        <f aca="false">IF(D105="Consumables",Settings!$B$4,Settings!$B$3)</f>
        <v>0.15</v>
      </c>
      <c r="I105" s="13" t="n">
        <f aca="false">E105*Settings!$B$2*(1+H105)</f>
        <v>14196.75</v>
      </c>
      <c r="J105" s="14" t="n">
        <f aca="false">Settings!$B$5</f>
        <v>0.375</v>
      </c>
      <c r="K105" s="13" t="n">
        <f aca="false">CEILING(I105*(1+J105),Settings!$B$6)</f>
        <v>19550</v>
      </c>
      <c r="L105" s="13" t="n">
        <f aca="false">K105-I105</f>
        <v>5353.25</v>
      </c>
      <c r="M105" s="14" t="n">
        <f aca="false">IF(K105=0,0,L105/K105)</f>
        <v>0.273823529411765</v>
      </c>
      <c r="N105" s="15" t="s">
        <v>370</v>
      </c>
    </row>
    <row r="106" customFormat="false" ht="15" hidden="false" customHeight="false" outlineLevel="0" collapsed="false">
      <c r="A106" s="9" t="n">
        <v>124</v>
      </c>
      <c r="B106" s="9" t="s">
        <v>371</v>
      </c>
      <c r="C106" s="9" t="s">
        <v>372</v>
      </c>
      <c r="D106" s="9" t="s">
        <v>368</v>
      </c>
      <c r="E106" s="10" t="n">
        <v>850</v>
      </c>
      <c r="F106" s="11" t="s">
        <v>33</v>
      </c>
      <c r="G106" s="9" t="s">
        <v>369</v>
      </c>
      <c r="H106" s="12" t="n">
        <f aca="false">IF(D106="Consumables",Settings!$B$4,Settings!$B$3)</f>
        <v>0.15</v>
      </c>
      <c r="I106" s="13" t="n">
        <f aca="false">E106*Settings!$B$2*(1+H106)</f>
        <v>16089.65</v>
      </c>
      <c r="J106" s="14" t="n">
        <f aca="false">Settings!$B$5</f>
        <v>0.375</v>
      </c>
      <c r="K106" s="13" t="n">
        <f aca="false">CEILING(I106*(1+J106),Settings!$B$6)</f>
        <v>22150</v>
      </c>
      <c r="L106" s="13" t="n">
        <f aca="false">K106-I106</f>
        <v>6060.35</v>
      </c>
      <c r="M106" s="14" t="n">
        <f aca="false">IF(K106=0,0,L106/K106)</f>
        <v>0.273604966139955</v>
      </c>
      <c r="N106" s="15" t="s">
        <v>373</v>
      </c>
    </row>
    <row r="107" customFormat="false" ht="15" hidden="false" customHeight="false" outlineLevel="0" collapsed="false">
      <c r="A107" s="9" t="n">
        <v>125</v>
      </c>
      <c r="B107" s="9" t="s">
        <v>374</v>
      </c>
      <c r="C107" s="9" t="s">
        <v>375</v>
      </c>
      <c r="D107" s="9" t="s">
        <v>368</v>
      </c>
      <c r="E107" s="10" t="n">
        <v>700</v>
      </c>
      <c r="F107" s="11" t="s">
        <v>33</v>
      </c>
      <c r="G107" s="9" t="s">
        <v>369</v>
      </c>
      <c r="H107" s="12" t="n">
        <f aca="false">IF(D107="Consumables",Settings!$B$4,Settings!$B$3)</f>
        <v>0.15</v>
      </c>
      <c r="I107" s="13" t="n">
        <f aca="false">E107*Settings!$B$2*(1+H107)</f>
        <v>13250.3</v>
      </c>
      <c r="J107" s="14" t="n">
        <f aca="false">Settings!$B$5</f>
        <v>0.375</v>
      </c>
      <c r="K107" s="13" t="n">
        <f aca="false">CEILING(I107*(1+J107),Settings!$B$6)</f>
        <v>18250</v>
      </c>
      <c r="L107" s="13" t="n">
        <f aca="false">K107-I107</f>
        <v>4999.7</v>
      </c>
      <c r="M107" s="14" t="n">
        <f aca="false">IF(K107=0,0,L107/K107)</f>
        <v>0.273956164383562</v>
      </c>
      <c r="N107" s="15" t="s">
        <v>376</v>
      </c>
    </row>
    <row r="108" customFormat="false" ht="15" hidden="false" customHeight="false" outlineLevel="0" collapsed="false">
      <c r="A108" s="9" t="n">
        <v>126</v>
      </c>
      <c r="B108" s="9" t="s">
        <v>377</v>
      </c>
      <c r="C108" s="9" t="s">
        <v>378</v>
      </c>
      <c r="D108" s="9" t="s">
        <v>368</v>
      </c>
      <c r="E108" s="10" t="n">
        <v>600</v>
      </c>
      <c r="F108" s="11" t="s">
        <v>33</v>
      </c>
      <c r="G108" s="9" t="s">
        <v>369</v>
      </c>
      <c r="H108" s="12" t="n">
        <f aca="false">IF(D108="Consumables",Settings!$B$4,Settings!$B$3)</f>
        <v>0.15</v>
      </c>
      <c r="I108" s="13" t="n">
        <f aca="false">E108*Settings!$B$2*(1+H108)</f>
        <v>11357.4</v>
      </c>
      <c r="J108" s="14" t="n">
        <f aca="false">Settings!$B$5</f>
        <v>0.375</v>
      </c>
      <c r="K108" s="13" t="n">
        <f aca="false">CEILING(I108*(1+J108),Settings!$B$6)</f>
        <v>15650</v>
      </c>
      <c r="L108" s="13" t="n">
        <f aca="false">K108-I108</f>
        <v>4292.6</v>
      </c>
      <c r="M108" s="14" t="n">
        <f aca="false">IF(K108=0,0,L108/K108)</f>
        <v>0.274287539936102</v>
      </c>
      <c r="N108" s="15" t="s">
        <v>379</v>
      </c>
    </row>
    <row r="109" customFormat="false" ht="15" hidden="false" customHeight="false" outlineLevel="0" collapsed="false">
      <c r="A109" s="9" t="n">
        <v>127</v>
      </c>
      <c r="B109" s="9" t="s">
        <v>380</v>
      </c>
      <c r="C109" s="9" t="s">
        <v>381</v>
      </c>
      <c r="D109" s="9" t="s">
        <v>368</v>
      </c>
      <c r="E109" s="10" t="n">
        <v>650</v>
      </c>
      <c r="F109" s="11" t="s">
        <v>33</v>
      </c>
      <c r="G109" s="9" t="s">
        <v>369</v>
      </c>
      <c r="H109" s="12" t="n">
        <f aca="false">IF(D109="Consumables",Settings!$B$4,Settings!$B$3)</f>
        <v>0.15</v>
      </c>
      <c r="I109" s="13" t="n">
        <f aca="false">E109*Settings!$B$2*(1+H109)</f>
        <v>12303.85</v>
      </c>
      <c r="J109" s="14" t="n">
        <f aca="false">Settings!$B$5</f>
        <v>0.375</v>
      </c>
      <c r="K109" s="13" t="n">
        <f aca="false">CEILING(I109*(1+J109),Settings!$B$6)</f>
        <v>16950</v>
      </c>
      <c r="L109" s="13" t="n">
        <f aca="false">K109-I109</f>
        <v>4646.15</v>
      </c>
      <c r="M109" s="14" t="n">
        <f aca="false">IF(K109=0,0,L109/K109)</f>
        <v>0.274109144542773</v>
      </c>
      <c r="N109" s="15" t="s">
        <v>382</v>
      </c>
    </row>
    <row r="110" customFormat="false" ht="15" hidden="false" customHeight="false" outlineLevel="0" collapsed="false">
      <c r="A110" s="9" t="n">
        <v>128</v>
      </c>
      <c r="B110" s="9" t="s">
        <v>383</v>
      </c>
      <c r="C110" s="9" t="s">
        <v>384</v>
      </c>
      <c r="D110" s="9" t="s">
        <v>368</v>
      </c>
      <c r="E110" s="10" t="n">
        <v>800</v>
      </c>
      <c r="F110" s="11" t="s">
        <v>33</v>
      </c>
      <c r="G110" s="9" t="s">
        <v>369</v>
      </c>
      <c r="H110" s="12" t="n">
        <f aca="false">IF(D110="Consumables",Settings!$B$4,Settings!$B$3)</f>
        <v>0.15</v>
      </c>
      <c r="I110" s="13" t="n">
        <f aca="false">E110*Settings!$B$2*(1+H110)</f>
        <v>15143.2</v>
      </c>
      <c r="J110" s="14" t="n">
        <f aca="false">Settings!$B$5</f>
        <v>0.375</v>
      </c>
      <c r="K110" s="13" t="n">
        <f aca="false">CEILING(I110*(1+J110),Settings!$B$6)</f>
        <v>20850</v>
      </c>
      <c r="L110" s="13" t="n">
        <f aca="false">K110-I110</f>
        <v>5706.8</v>
      </c>
      <c r="M110" s="14" t="n">
        <f aca="false">IF(K110=0,0,L110/K110)</f>
        <v>0.273707434052758</v>
      </c>
      <c r="N110" s="15" t="s">
        <v>385</v>
      </c>
    </row>
    <row r="111" customFormat="false" ht="15" hidden="false" customHeight="false" outlineLevel="0" collapsed="false">
      <c r="A111" s="9" t="n">
        <v>129</v>
      </c>
      <c r="B111" s="9" t="s">
        <v>386</v>
      </c>
      <c r="C111" s="9" t="s">
        <v>387</v>
      </c>
      <c r="D111" s="9" t="s">
        <v>368</v>
      </c>
      <c r="E111" s="10" t="n">
        <v>1000</v>
      </c>
      <c r="F111" s="11" t="s">
        <v>33</v>
      </c>
      <c r="G111" s="9" t="s">
        <v>369</v>
      </c>
      <c r="H111" s="12" t="n">
        <f aca="false">IF(D111="Consumables",Settings!$B$4,Settings!$B$3)</f>
        <v>0.15</v>
      </c>
      <c r="I111" s="13" t="n">
        <f aca="false">E111*Settings!$B$2*(1+H111)</f>
        <v>18929</v>
      </c>
      <c r="J111" s="14" t="n">
        <f aca="false">Settings!$B$5</f>
        <v>0.375</v>
      </c>
      <c r="K111" s="13" t="n">
        <f aca="false">CEILING(I111*(1+J111),Settings!$B$6)</f>
        <v>26050</v>
      </c>
      <c r="L111" s="13" t="n">
        <f aca="false">K111-I111</f>
        <v>7121</v>
      </c>
      <c r="M111" s="14" t="n">
        <f aca="false">IF(K111=0,0,L111/K111)</f>
        <v>0.273358925143954</v>
      </c>
      <c r="N111" s="15" t="s">
        <v>388</v>
      </c>
    </row>
    <row r="112" customFormat="false" ht="15" hidden="false" customHeight="false" outlineLevel="0" collapsed="false">
      <c r="A112" s="9" t="n">
        <v>130</v>
      </c>
      <c r="B112" s="9" t="s">
        <v>389</v>
      </c>
      <c r="C112" s="9" t="s">
        <v>390</v>
      </c>
      <c r="D112" s="9" t="s">
        <v>368</v>
      </c>
      <c r="E112" s="10" t="n">
        <v>950</v>
      </c>
      <c r="F112" s="11" t="s">
        <v>33</v>
      </c>
      <c r="G112" s="9" t="s">
        <v>369</v>
      </c>
      <c r="H112" s="12" t="n">
        <f aca="false">IF(D112="Consumables",Settings!$B$4,Settings!$B$3)</f>
        <v>0.15</v>
      </c>
      <c r="I112" s="13" t="n">
        <f aca="false">E112*Settings!$B$2*(1+H112)</f>
        <v>17982.55</v>
      </c>
      <c r="J112" s="14" t="n">
        <f aca="false">Settings!$B$5</f>
        <v>0.375</v>
      </c>
      <c r="K112" s="13" t="n">
        <f aca="false">CEILING(I112*(1+J112),Settings!$B$6)</f>
        <v>24750</v>
      </c>
      <c r="L112" s="13" t="n">
        <f aca="false">K112-I112</f>
        <v>6767.45</v>
      </c>
      <c r="M112" s="14" t="n">
        <f aca="false">IF(K112=0,0,L112/K112)</f>
        <v>0.273432323232323</v>
      </c>
      <c r="N112" s="15" t="s">
        <v>391</v>
      </c>
    </row>
    <row r="113" customFormat="false" ht="15" hidden="false" customHeight="false" outlineLevel="0" collapsed="false">
      <c r="A113" s="9" t="n">
        <v>131</v>
      </c>
      <c r="B113" s="9" t="s">
        <v>392</v>
      </c>
      <c r="C113" s="9" t="s">
        <v>393</v>
      </c>
      <c r="D113" s="9" t="s">
        <v>368</v>
      </c>
      <c r="E113" s="10" t="n">
        <v>1100</v>
      </c>
      <c r="F113" s="11" t="s">
        <v>33</v>
      </c>
      <c r="G113" s="9" t="s">
        <v>369</v>
      </c>
      <c r="H113" s="12" t="n">
        <f aca="false">IF(D113="Consumables",Settings!$B$4,Settings!$B$3)</f>
        <v>0.15</v>
      </c>
      <c r="I113" s="13" t="n">
        <f aca="false">E113*Settings!$B$2*(1+H113)</f>
        <v>20821.9</v>
      </c>
      <c r="J113" s="14" t="n">
        <f aca="false">Settings!$B$5</f>
        <v>0.375</v>
      </c>
      <c r="K113" s="13" t="n">
        <f aca="false">CEILING(I113*(1+J113),Settings!$B$6)</f>
        <v>28650</v>
      </c>
      <c r="L113" s="13" t="n">
        <f aca="false">K113-I113</f>
        <v>7828.1</v>
      </c>
      <c r="M113" s="14" t="n">
        <f aca="false">IF(K113=0,0,L113/K113)</f>
        <v>0.273232111692845</v>
      </c>
      <c r="N113" s="15" t="s">
        <v>394</v>
      </c>
    </row>
    <row r="114" customFormat="false" ht="15" hidden="false" customHeight="false" outlineLevel="0" collapsed="false">
      <c r="A114" s="9" t="n">
        <v>132</v>
      </c>
      <c r="B114" s="9" t="s">
        <v>395</v>
      </c>
      <c r="C114" s="9" t="s">
        <v>396</v>
      </c>
      <c r="D114" s="9" t="s">
        <v>368</v>
      </c>
      <c r="E114" s="10" t="n">
        <v>950</v>
      </c>
      <c r="F114" s="11" t="s">
        <v>33</v>
      </c>
      <c r="G114" s="9" t="s">
        <v>369</v>
      </c>
      <c r="H114" s="12" t="n">
        <f aca="false">IF(D114="Consumables",Settings!$B$4,Settings!$B$3)</f>
        <v>0.15</v>
      </c>
      <c r="I114" s="13" t="n">
        <f aca="false">E114*Settings!$B$2*(1+H114)</f>
        <v>17982.55</v>
      </c>
      <c r="J114" s="14" t="n">
        <f aca="false">Settings!$B$5</f>
        <v>0.375</v>
      </c>
      <c r="K114" s="13" t="n">
        <f aca="false">CEILING(I114*(1+J114),Settings!$B$6)</f>
        <v>24750</v>
      </c>
      <c r="L114" s="13" t="n">
        <f aca="false">K114-I114</f>
        <v>6767.45</v>
      </c>
      <c r="M114" s="14" t="n">
        <f aca="false">IF(K114=0,0,L114/K114)</f>
        <v>0.273432323232323</v>
      </c>
      <c r="N114" s="15" t="s">
        <v>397</v>
      </c>
    </row>
    <row r="115" customFormat="false" ht="15" hidden="false" customHeight="false" outlineLevel="0" collapsed="false">
      <c r="A115" s="9" t="n">
        <v>133</v>
      </c>
      <c r="B115" s="9" t="s">
        <v>398</v>
      </c>
      <c r="C115" s="9" t="s">
        <v>399</v>
      </c>
      <c r="D115" s="9" t="s">
        <v>368</v>
      </c>
      <c r="E115" s="10" t="n">
        <v>900</v>
      </c>
      <c r="F115" s="11" t="s">
        <v>33</v>
      </c>
      <c r="G115" s="9" t="s">
        <v>369</v>
      </c>
      <c r="H115" s="12" t="n">
        <f aca="false">IF(D115="Consumables",Settings!$B$4,Settings!$B$3)</f>
        <v>0.15</v>
      </c>
      <c r="I115" s="13" t="n">
        <f aca="false">E115*Settings!$B$2*(1+H115)</f>
        <v>17036.1</v>
      </c>
      <c r="J115" s="14" t="n">
        <f aca="false">Settings!$B$5</f>
        <v>0.375</v>
      </c>
      <c r="K115" s="13" t="n">
        <f aca="false">CEILING(I115*(1+J115),Settings!$B$6)</f>
        <v>23450</v>
      </c>
      <c r="L115" s="13" t="n">
        <f aca="false">K115-I115</f>
        <v>6413.9</v>
      </c>
      <c r="M115" s="14" t="n">
        <f aca="false">IF(K115=0,0,L115/K115)</f>
        <v>0.273513859275053</v>
      </c>
      <c r="N115" s="15" t="s">
        <v>400</v>
      </c>
    </row>
    <row r="116" customFormat="false" ht="15" hidden="false" customHeight="false" outlineLevel="0" collapsed="false">
      <c r="A116" s="9" t="n">
        <v>44</v>
      </c>
      <c r="B116" s="9" t="s">
        <v>401</v>
      </c>
      <c r="C116" s="9" t="s">
        <v>402</v>
      </c>
      <c r="D116" s="9" t="s">
        <v>403</v>
      </c>
      <c r="E116" s="10" t="n">
        <v>1900</v>
      </c>
      <c r="F116" s="17" t="s">
        <v>83</v>
      </c>
      <c r="G116" s="9" t="s">
        <v>404</v>
      </c>
      <c r="H116" s="12" t="n">
        <f aca="false">IF(D116="Consumables",Settings!$B$4,Settings!$B$3)</f>
        <v>0.15</v>
      </c>
      <c r="I116" s="13" t="n">
        <f aca="false">E116*Settings!$B$2*(1+H116)</f>
        <v>35965.1</v>
      </c>
      <c r="J116" s="14" t="n">
        <f aca="false">Settings!$B$5</f>
        <v>0.375</v>
      </c>
      <c r="K116" s="13" t="n">
        <f aca="false">CEILING(I116*(1+J116),Settings!$B$6)</f>
        <v>49500</v>
      </c>
      <c r="L116" s="13" t="n">
        <f aca="false">K116-I116</f>
        <v>13534.9</v>
      </c>
      <c r="M116" s="14" t="n">
        <f aca="false">IF(K116=0,0,L116/K116)</f>
        <v>0.273432323232323</v>
      </c>
      <c r="N116" s="15" t="s">
        <v>405</v>
      </c>
    </row>
    <row r="117" customFormat="false" ht="15" hidden="false" customHeight="false" outlineLevel="0" collapsed="false">
      <c r="A117" s="9" t="n">
        <v>45</v>
      </c>
      <c r="B117" s="9" t="s">
        <v>406</v>
      </c>
      <c r="C117" s="9" t="s">
        <v>407</v>
      </c>
      <c r="D117" s="9" t="s">
        <v>403</v>
      </c>
      <c r="E117" s="10" t="n">
        <v>700</v>
      </c>
      <c r="F117" s="11" t="s">
        <v>33</v>
      </c>
      <c r="G117" s="9" t="s">
        <v>408</v>
      </c>
      <c r="H117" s="12" t="n">
        <f aca="false">IF(D117="Consumables",Settings!$B$4,Settings!$B$3)</f>
        <v>0.15</v>
      </c>
      <c r="I117" s="13" t="n">
        <f aca="false">E117*Settings!$B$2*(1+H117)</f>
        <v>13250.3</v>
      </c>
      <c r="J117" s="14" t="n">
        <f aca="false">Settings!$B$5</f>
        <v>0.375</v>
      </c>
      <c r="K117" s="13" t="n">
        <f aca="false">CEILING(I117*(1+J117),Settings!$B$6)</f>
        <v>18250</v>
      </c>
      <c r="L117" s="13" t="n">
        <f aca="false">K117-I117</f>
        <v>4999.7</v>
      </c>
      <c r="M117" s="14" t="n">
        <f aca="false">IF(K117=0,0,L117/K117)</f>
        <v>0.273956164383562</v>
      </c>
      <c r="N117" s="15" t="s">
        <v>409</v>
      </c>
    </row>
    <row r="118" customFormat="false" ht="15" hidden="false" customHeight="false" outlineLevel="0" collapsed="false">
      <c r="A118" s="9" t="n">
        <v>46</v>
      </c>
      <c r="B118" s="9" t="s">
        <v>410</v>
      </c>
      <c r="C118" s="9" t="s">
        <v>411</v>
      </c>
      <c r="D118" s="9" t="s">
        <v>403</v>
      </c>
      <c r="E118" s="10" t="n">
        <v>600</v>
      </c>
      <c r="F118" s="11" t="s">
        <v>33</v>
      </c>
      <c r="G118" s="9" t="s">
        <v>408</v>
      </c>
      <c r="H118" s="12" t="n">
        <f aca="false">IF(D118="Consumables",Settings!$B$4,Settings!$B$3)</f>
        <v>0.15</v>
      </c>
      <c r="I118" s="13" t="n">
        <f aca="false">E118*Settings!$B$2*(1+H118)</f>
        <v>11357.4</v>
      </c>
      <c r="J118" s="14" t="n">
        <f aca="false">Settings!$B$5</f>
        <v>0.375</v>
      </c>
      <c r="K118" s="13" t="n">
        <f aca="false">CEILING(I118*(1+J118),Settings!$B$6)</f>
        <v>15650</v>
      </c>
      <c r="L118" s="13" t="n">
        <f aca="false">K118-I118</f>
        <v>4292.6</v>
      </c>
      <c r="M118" s="14" t="n">
        <f aca="false">IF(K118=0,0,L118/K118)</f>
        <v>0.274287539936102</v>
      </c>
      <c r="N118" s="15" t="s">
        <v>412</v>
      </c>
    </row>
    <row r="119" customFormat="false" ht="15" hidden="false" customHeight="false" outlineLevel="0" collapsed="false">
      <c r="A119" s="9" t="n">
        <v>47</v>
      </c>
      <c r="B119" s="9" t="s">
        <v>413</v>
      </c>
      <c r="C119" s="9" t="s">
        <v>414</v>
      </c>
      <c r="D119" s="9" t="s">
        <v>403</v>
      </c>
      <c r="E119" s="10" t="n">
        <v>1200</v>
      </c>
      <c r="F119" s="17" t="s">
        <v>83</v>
      </c>
      <c r="G119" s="9" t="s">
        <v>415</v>
      </c>
      <c r="H119" s="12" t="n">
        <f aca="false">IF(D119="Consumables",Settings!$B$4,Settings!$B$3)</f>
        <v>0.15</v>
      </c>
      <c r="I119" s="13" t="n">
        <f aca="false">E119*Settings!$B$2*(1+H119)</f>
        <v>22714.8</v>
      </c>
      <c r="J119" s="14" t="n">
        <f aca="false">Settings!$B$5</f>
        <v>0.375</v>
      </c>
      <c r="K119" s="13" t="n">
        <f aca="false">CEILING(I119*(1+J119),Settings!$B$6)</f>
        <v>31250</v>
      </c>
      <c r="L119" s="13" t="n">
        <f aca="false">K119-I119</f>
        <v>8535.2</v>
      </c>
      <c r="M119" s="14" t="n">
        <f aca="false">IF(K119=0,0,L119/K119)</f>
        <v>0.2731264</v>
      </c>
      <c r="N119" s="15" t="s">
        <v>416</v>
      </c>
    </row>
    <row r="120" customFormat="false" ht="15" hidden="false" customHeight="false" outlineLevel="0" collapsed="false">
      <c r="A120" s="9" t="n">
        <v>48</v>
      </c>
      <c r="B120" s="9" t="s">
        <v>417</v>
      </c>
      <c r="C120" s="9" t="s">
        <v>418</v>
      </c>
      <c r="D120" s="9" t="s">
        <v>403</v>
      </c>
      <c r="E120" s="10" t="n">
        <v>350</v>
      </c>
      <c r="F120" s="11" t="s">
        <v>33</v>
      </c>
      <c r="G120" s="9" t="s">
        <v>419</v>
      </c>
      <c r="H120" s="12" t="n">
        <f aca="false">IF(D120="Consumables",Settings!$B$4,Settings!$B$3)</f>
        <v>0.15</v>
      </c>
      <c r="I120" s="13" t="n">
        <f aca="false">E120*Settings!$B$2*(1+H120)</f>
        <v>6625.15</v>
      </c>
      <c r="J120" s="14" t="n">
        <f aca="false">Settings!$B$5</f>
        <v>0.375</v>
      </c>
      <c r="K120" s="13" t="n">
        <f aca="false">CEILING(I120*(1+J120),Settings!$B$6)</f>
        <v>9150</v>
      </c>
      <c r="L120" s="13" t="n">
        <f aca="false">K120-I120</f>
        <v>2524.85</v>
      </c>
      <c r="M120" s="14" t="n">
        <f aca="false">IF(K120=0,0,L120/K120)</f>
        <v>0.275939890710383</v>
      </c>
      <c r="N120" s="15" t="s">
        <v>420</v>
      </c>
    </row>
    <row r="121" customFormat="false" ht="15" hidden="false" customHeight="false" outlineLevel="0" collapsed="false">
      <c r="A121" s="9" t="n">
        <v>49</v>
      </c>
      <c r="B121" s="9" t="s">
        <v>421</v>
      </c>
      <c r="C121" s="9" t="s">
        <v>422</v>
      </c>
      <c r="D121" s="9" t="s">
        <v>403</v>
      </c>
      <c r="E121" s="10" t="n">
        <v>220</v>
      </c>
      <c r="F121" s="11" t="s">
        <v>33</v>
      </c>
      <c r="G121" s="9" t="s">
        <v>419</v>
      </c>
      <c r="H121" s="12" t="n">
        <f aca="false">IF(D121="Consumables",Settings!$B$4,Settings!$B$3)</f>
        <v>0.15</v>
      </c>
      <c r="I121" s="13" t="n">
        <f aca="false">E121*Settings!$B$2*(1+H121)</f>
        <v>4164.38</v>
      </c>
      <c r="J121" s="14" t="n">
        <f aca="false">Settings!$B$5</f>
        <v>0.375</v>
      </c>
      <c r="K121" s="13" t="n">
        <f aca="false">CEILING(I121*(1+J121),Settings!$B$6)</f>
        <v>5750</v>
      </c>
      <c r="L121" s="13" t="n">
        <f aca="false">K121-I121</f>
        <v>1585.62</v>
      </c>
      <c r="M121" s="14" t="n">
        <f aca="false">IF(K121=0,0,L121/K121)</f>
        <v>0.27576</v>
      </c>
      <c r="N121" s="15" t="s">
        <v>423</v>
      </c>
    </row>
    <row r="122" customFormat="false" ht="15" hidden="false" customHeight="false" outlineLevel="0" collapsed="false">
      <c r="A122" s="9" t="n">
        <v>101</v>
      </c>
      <c r="B122" s="9" t="s">
        <v>424</v>
      </c>
      <c r="C122" s="9" t="s">
        <v>425</v>
      </c>
      <c r="D122" s="9" t="s">
        <v>403</v>
      </c>
      <c r="E122" s="10" t="n">
        <v>450</v>
      </c>
      <c r="F122" s="11" t="s">
        <v>33</v>
      </c>
      <c r="G122" s="9" t="s">
        <v>408</v>
      </c>
      <c r="H122" s="12" t="n">
        <f aca="false">IF(D122="Consumables",Settings!$B$4,Settings!$B$3)</f>
        <v>0.15</v>
      </c>
      <c r="I122" s="13" t="n">
        <f aca="false">E122*Settings!$B$2*(1+H122)</f>
        <v>8518.05</v>
      </c>
      <c r="J122" s="14" t="n">
        <f aca="false">Settings!$B$5</f>
        <v>0.375</v>
      </c>
      <c r="K122" s="13" t="n">
        <f aca="false">CEILING(I122*(1+J122),Settings!$B$6)</f>
        <v>11750</v>
      </c>
      <c r="L122" s="13" t="n">
        <f aca="false">K122-I122</f>
        <v>3231.95</v>
      </c>
      <c r="M122" s="14" t="n">
        <f aca="false">IF(K122=0,0,L122/K122)</f>
        <v>0.275059574468085</v>
      </c>
      <c r="N122" s="15" t="s">
        <v>426</v>
      </c>
    </row>
    <row r="123" customFormat="false" ht="15" hidden="false" customHeight="false" outlineLevel="0" collapsed="false">
      <c r="A123" s="9" t="n">
        <v>102</v>
      </c>
      <c r="B123" s="9" t="s">
        <v>427</v>
      </c>
      <c r="C123" s="9" t="s">
        <v>428</v>
      </c>
      <c r="D123" s="9" t="s">
        <v>403</v>
      </c>
      <c r="E123" s="10" t="n">
        <v>750</v>
      </c>
      <c r="F123" s="11" t="s">
        <v>33</v>
      </c>
      <c r="G123" s="9" t="s">
        <v>408</v>
      </c>
      <c r="H123" s="12" t="n">
        <f aca="false">IF(D123="Consumables",Settings!$B$4,Settings!$B$3)</f>
        <v>0.15</v>
      </c>
      <c r="I123" s="13" t="n">
        <f aca="false">E123*Settings!$B$2*(1+H123)</f>
        <v>14196.75</v>
      </c>
      <c r="J123" s="14" t="n">
        <f aca="false">Settings!$B$5</f>
        <v>0.375</v>
      </c>
      <c r="K123" s="13" t="n">
        <f aca="false">CEILING(I123*(1+J123),Settings!$B$6)</f>
        <v>19550</v>
      </c>
      <c r="L123" s="13" t="n">
        <f aca="false">K123-I123</f>
        <v>5353.25</v>
      </c>
      <c r="M123" s="14" t="n">
        <f aca="false">IF(K123=0,0,L123/K123)</f>
        <v>0.273823529411765</v>
      </c>
      <c r="N123" s="15" t="s">
        <v>429</v>
      </c>
    </row>
    <row r="124" customFormat="false" ht="15" hidden="false" customHeight="false" outlineLevel="0" collapsed="false">
      <c r="A124" s="9" t="n">
        <v>103</v>
      </c>
      <c r="B124" s="9" t="s">
        <v>430</v>
      </c>
      <c r="C124" s="9" t="s">
        <v>431</v>
      </c>
      <c r="D124" s="9" t="s">
        <v>403</v>
      </c>
      <c r="E124" s="10" t="n">
        <v>650</v>
      </c>
      <c r="F124" s="17" t="s">
        <v>83</v>
      </c>
      <c r="G124" s="9" t="s">
        <v>419</v>
      </c>
      <c r="H124" s="12" t="n">
        <f aca="false">IF(D124="Consumables",Settings!$B$4,Settings!$B$3)</f>
        <v>0.15</v>
      </c>
      <c r="I124" s="13" t="n">
        <f aca="false">E124*Settings!$B$2*(1+H124)</f>
        <v>12303.85</v>
      </c>
      <c r="J124" s="14" t="n">
        <f aca="false">Settings!$B$5</f>
        <v>0.375</v>
      </c>
      <c r="K124" s="13" t="n">
        <f aca="false">CEILING(I124*(1+J124),Settings!$B$6)</f>
        <v>16950</v>
      </c>
      <c r="L124" s="13" t="n">
        <f aca="false">K124-I124</f>
        <v>4646.15</v>
      </c>
      <c r="M124" s="14" t="n">
        <f aca="false">IF(K124=0,0,L124/K124)</f>
        <v>0.274109144542773</v>
      </c>
      <c r="N124" s="15" t="s">
        <v>432</v>
      </c>
    </row>
    <row r="125" customFormat="false" ht="15" hidden="false" customHeight="false" outlineLevel="0" collapsed="false">
      <c r="A125" s="9" t="n">
        <v>104</v>
      </c>
      <c r="B125" s="9" t="s">
        <v>433</v>
      </c>
      <c r="C125" s="9" t="s">
        <v>434</v>
      </c>
      <c r="D125" s="9" t="s">
        <v>403</v>
      </c>
      <c r="E125" s="10" t="n">
        <v>700</v>
      </c>
      <c r="F125" s="17" t="s">
        <v>83</v>
      </c>
      <c r="G125" s="9" t="s">
        <v>419</v>
      </c>
      <c r="H125" s="12" t="n">
        <f aca="false">IF(D125="Consumables",Settings!$B$4,Settings!$B$3)</f>
        <v>0.15</v>
      </c>
      <c r="I125" s="13" t="n">
        <f aca="false">E125*Settings!$B$2*(1+H125)</f>
        <v>13250.3</v>
      </c>
      <c r="J125" s="14" t="n">
        <f aca="false">Settings!$B$5</f>
        <v>0.375</v>
      </c>
      <c r="K125" s="13" t="n">
        <f aca="false">CEILING(I125*(1+J125),Settings!$B$6)</f>
        <v>18250</v>
      </c>
      <c r="L125" s="13" t="n">
        <f aca="false">K125-I125</f>
        <v>4999.7</v>
      </c>
      <c r="M125" s="14" t="n">
        <f aca="false">IF(K125=0,0,L125/K125)</f>
        <v>0.273956164383562</v>
      </c>
      <c r="N125" s="15" t="s">
        <v>435</v>
      </c>
    </row>
    <row r="126" customFormat="false" ht="15" hidden="false" customHeight="false" outlineLevel="0" collapsed="false">
      <c r="A126" s="9" t="n">
        <v>105</v>
      </c>
      <c r="B126" s="9" t="s">
        <v>436</v>
      </c>
      <c r="C126" s="9" t="s">
        <v>437</v>
      </c>
      <c r="D126" s="9" t="s">
        <v>403</v>
      </c>
      <c r="E126" s="10" t="n">
        <v>1100</v>
      </c>
      <c r="F126" s="17" t="s">
        <v>83</v>
      </c>
      <c r="G126" s="9" t="s">
        <v>419</v>
      </c>
      <c r="H126" s="12" t="n">
        <f aca="false">IF(D126="Consumables",Settings!$B$4,Settings!$B$3)</f>
        <v>0.15</v>
      </c>
      <c r="I126" s="13" t="n">
        <f aca="false">E126*Settings!$B$2*(1+H126)</f>
        <v>20821.9</v>
      </c>
      <c r="J126" s="14" t="n">
        <f aca="false">Settings!$B$5</f>
        <v>0.375</v>
      </c>
      <c r="K126" s="13" t="n">
        <f aca="false">CEILING(I126*(1+J126),Settings!$B$6)</f>
        <v>28650</v>
      </c>
      <c r="L126" s="13" t="n">
        <f aca="false">K126-I126</f>
        <v>7828.1</v>
      </c>
      <c r="M126" s="14" t="n">
        <f aca="false">IF(K126=0,0,L126/K126)</f>
        <v>0.273232111692845</v>
      </c>
      <c r="N126" s="15" t="s">
        <v>438</v>
      </c>
    </row>
    <row r="127" customFormat="false" ht="15" hidden="false" customHeight="false" outlineLevel="0" collapsed="false">
      <c r="A127" s="9" t="n">
        <v>106</v>
      </c>
      <c r="B127" s="9" t="s">
        <v>439</v>
      </c>
      <c r="C127" s="9" t="s">
        <v>440</v>
      </c>
      <c r="D127" s="9" t="s">
        <v>403</v>
      </c>
      <c r="E127" s="10" t="n">
        <v>450</v>
      </c>
      <c r="F127" s="11" t="s">
        <v>33</v>
      </c>
      <c r="G127" s="9" t="s">
        <v>419</v>
      </c>
      <c r="H127" s="12" t="n">
        <f aca="false">IF(D127="Consumables",Settings!$B$4,Settings!$B$3)</f>
        <v>0.15</v>
      </c>
      <c r="I127" s="13" t="n">
        <f aca="false">E127*Settings!$B$2*(1+H127)</f>
        <v>8518.05</v>
      </c>
      <c r="J127" s="14" t="n">
        <f aca="false">Settings!$B$5</f>
        <v>0.375</v>
      </c>
      <c r="K127" s="13" t="n">
        <f aca="false">CEILING(I127*(1+J127),Settings!$B$6)</f>
        <v>11750</v>
      </c>
      <c r="L127" s="13" t="n">
        <f aca="false">K127-I127</f>
        <v>3231.95</v>
      </c>
      <c r="M127" s="14" t="n">
        <f aca="false">IF(K127=0,0,L127/K127)</f>
        <v>0.275059574468085</v>
      </c>
      <c r="N127" s="15" t="s">
        <v>441</v>
      </c>
    </row>
    <row r="128" customFormat="false" ht="15" hidden="false" customHeight="false" outlineLevel="0" collapsed="false">
      <c r="A128" s="9" t="n">
        <v>107</v>
      </c>
      <c r="B128" s="9" t="s">
        <v>442</v>
      </c>
      <c r="C128" s="9" t="s">
        <v>443</v>
      </c>
      <c r="D128" s="9" t="s">
        <v>403</v>
      </c>
      <c r="E128" s="10" t="n">
        <v>120</v>
      </c>
      <c r="F128" s="11" t="s">
        <v>33</v>
      </c>
      <c r="G128" s="9" t="s">
        <v>419</v>
      </c>
      <c r="H128" s="12" t="n">
        <f aca="false">IF(D128="Consumables",Settings!$B$4,Settings!$B$3)</f>
        <v>0.15</v>
      </c>
      <c r="I128" s="13" t="n">
        <f aca="false">E128*Settings!$B$2*(1+H128)</f>
        <v>2271.48</v>
      </c>
      <c r="J128" s="14" t="n">
        <f aca="false">Settings!$B$5</f>
        <v>0.375</v>
      </c>
      <c r="K128" s="13" t="n">
        <f aca="false">CEILING(I128*(1+J128),Settings!$B$6)</f>
        <v>3150</v>
      </c>
      <c r="L128" s="13" t="n">
        <f aca="false">K128-I128</f>
        <v>878.52</v>
      </c>
      <c r="M128" s="14" t="n">
        <f aca="false">IF(K128=0,0,L128/K128)</f>
        <v>0.278895238095238</v>
      </c>
      <c r="N128" s="15" t="s">
        <v>444</v>
      </c>
    </row>
    <row r="129" customFormat="false" ht="15" hidden="false" customHeight="false" outlineLevel="0" collapsed="false">
      <c r="A129" s="9" t="n">
        <v>108</v>
      </c>
      <c r="B129" s="9" t="s">
        <v>445</v>
      </c>
      <c r="C129" s="9" t="s">
        <v>446</v>
      </c>
      <c r="D129" s="9" t="s">
        <v>403</v>
      </c>
      <c r="E129" s="10" t="n">
        <v>160</v>
      </c>
      <c r="F129" s="11" t="s">
        <v>33</v>
      </c>
      <c r="G129" s="9" t="s">
        <v>419</v>
      </c>
      <c r="H129" s="12" t="n">
        <f aca="false">IF(D129="Consumables",Settings!$B$4,Settings!$B$3)</f>
        <v>0.15</v>
      </c>
      <c r="I129" s="13" t="n">
        <f aca="false">E129*Settings!$B$2*(1+H129)</f>
        <v>3028.64</v>
      </c>
      <c r="J129" s="14" t="n">
        <f aca="false">Settings!$B$5</f>
        <v>0.375</v>
      </c>
      <c r="K129" s="13" t="n">
        <f aca="false">CEILING(I129*(1+J129),Settings!$B$6)</f>
        <v>4200</v>
      </c>
      <c r="L129" s="13" t="n">
        <f aca="false">K129-I129</f>
        <v>1171.36</v>
      </c>
      <c r="M129" s="14" t="n">
        <f aca="false">IF(K129=0,0,L129/K129)</f>
        <v>0.278895238095238</v>
      </c>
      <c r="N129" s="15" t="s">
        <v>447</v>
      </c>
    </row>
    <row r="130" customFormat="false" ht="15" hidden="false" customHeight="false" outlineLevel="0" collapsed="false">
      <c r="A130" s="9" t="n">
        <v>109</v>
      </c>
      <c r="B130" s="9" t="s">
        <v>448</v>
      </c>
      <c r="C130" s="9" t="s">
        <v>449</v>
      </c>
      <c r="D130" s="9" t="s">
        <v>403</v>
      </c>
      <c r="E130" s="10" t="n">
        <v>380</v>
      </c>
      <c r="F130" s="11" t="s">
        <v>33</v>
      </c>
      <c r="G130" s="9" t="s">
        <v>419</v>
      </c>
      <c r="H130" s="12" t="n">
        <f aca="false">IF(D130="Consumables",Settings!$B$4,Settings!$B$3)</f>
        <v>0.15</v>
      </c>
      <c r="I130" s="13" t="n">
        <f aca="false">E130*Settings!$B$2*(1+H130)</f>
        <v>7193.02</v>
      </c>
      <c r="J130" s="14" t="n">
        <f aca="false">Settings!$B$5</f>
        <v>0.375</v>
      </c>
      <c r="K130" s="13" t="n">
        <f aca="false">CEILING(I130*(1+J130),Settings!$B$6)</f>
        <v>9900</v>
      </c>
      <c r="L130" s="13" t="n">
        <f aca="false">K130-I130</f>
        <v>2706.98</v>
      </c>
      <c r="M130" s="14" t="n">
        <f aca="false">IF(K130=0,0,L130/K130)</f>
        <v>0.273432323232323</v>
      </c>
      <c r="N130" s="15" t="s">
        <v>450</v>
      </c>
    </row>
    <row r="131" customFormat="false" ht="15" hidden="false" customHeight="false" outlineLevel="0" collapsed="false">
      <c r="A131" s="9" t="n">
        <v>110</v>
      </c>
      <c r="B131" s="9" t="s">
        <v>451</v>
      </c>
      <c r="C131" s="9" t="s">
        <v>452</v>
      </c>
      <c r="D131" s="9" t="s">
        <v>403</v>
      </c>
      <c r="E131" s="10" t="n">
        <v>650</v>
      </c>
      <c r="F131" s="11" t="s">
        <v>33</v>
      </c>
      <c r="G131" s="9" t="s">
        <v>419</v>
      </c>
      <c r="H131" s="12" t="n">
        <f aca="false">IF(D131="Consumables",Settings!$B$4,Settings!$B$3)</f>
        <v>0.15</v>
      </c>
      <c r="I131" s="13" t="n">
        <f aca="false">E131*Settings!$B$2*(1+H131)</f>
        <v>12303.85</v>
      </c>
      <c r="J131" s="14" t="n">
        <f aca="false">Settings!$B$5</f>
        <v>0.375</v>
      </c>
      <c r="K131" s="13" t="n">
        <f aca="false">CEILING(I131*(1+J131),Settings!$B$6)</f>
        <v>16950</v>
      </c>
      <c r="L131" s="13" t="n">
        <f aca="false">K131-I131</f>
        <v>4646.15</v>
      </c>
      <c r="M131" s="14" t="n">
        <f aca="false">IF(K131=0,0,L131/K131)</f>
        <v>0.274109144542773</v>
      </c>
      <c r="N131" s="15" t="s">
        <v>453</v>
      </c>
    </row>
    <row r="132" customFormat="false" ht="15" hidden="false" customHeight="false" outlineLevel="0" collapsed="false">
      <c r="A132" s="9" t="n">
        <v>111</v>
      </c>
      <c r="B132" s="9" t="s">
        <v>454</v>
      </c>
      <c r="C132" s="9" t="s">
        <v>455</v>
      </c>
      <c r="D132" s="9" t="s">
        <v>403</v>
      </c>
      <c r="E132" s="10" t="n">
        <v>650</v>
      </c>
      <c r="F132" s="11" t="s">
        <v>33</v>
      </c>
      <c r="G132" s="9" t="s">
        <v>419</v>
      </c>
      <c r="H132" s="12" t="n">
        <f aca="false">IF(D132="Consumables",Settings!$B$4,Settings!$B$3)</f>
        <v>0.15</v>
      </c>
      <c r="I132" s="13" t="n">
        <f aca="false">E132*Settings!$B$2*(1+H132)</f>
        <v>12303.85</v>
      </c>
      <c r="J132" s="14" t="n">
        <f aca="false">Settings!$B$5</f>
        <v>0.375</v>
      </c>
      <c r="K132" s="13" t="n">
        <f aca="false">CEILING(I132*(1+J132),Settings!$B$6)</f>
        <v>16950</v>
      </c>
      <c r="L132" s="13" t="n">
        <f aca="false">K132-I132</f>
        <v>4646.15</v>
      </c>
      <c r="M132" s="14" t="n">
        <f aca="false">IF(K132=0,0,L132/K132)</f>
        <v>0.274109144542773</v>
      </c>
      <c r="N132" s="15" t="s">
        <v>456</v>
      </c>
    </row>
    <row r="133" customFormat="false" ht="15" hidden="false" customHeight="false" outlineLevel="0" collapsed="false">
      <c r="A133" s="9" t="n">
        <v>112</v>
      </c>
      <c r="B133" s="9" t="s">
        <v>457</v>
      </c>
      <c r="C133" s="9" t="s">
        <v>458</v>
      </c>
      <c r="D133" s="9" t="s">
        <v>403</v>
      </c>
      <c r="E133" s="10" t="n">
        <v>500</v>
      </c>
      <c r="F133" s="11" t="s">
        <v>33</v>
      </c>
      <c r="G133" s="9" t="s">
        <v>419</v>
      </c>
      <c r="H133" s="12" t="n">
        <f aca="false">IF(D133="Consumables",Settings!$B$4,Settings!$B$3)</f>
        <v>0.15</v>
      </c>
      <c r="I133" s="13" t="n">
        <f aca="false">E133*Settings!$B$2*(1+H133)</f>
        <v>9464.5</v>
      </c>
      <c r="J133" s="14" t="n">
        <f aca="false">Settings!$B$5</f>
        <v>0.375</v>
      </c>
      <c r="K133" s="13" t="n">
        <f aca="false">CEILING(I133*(1+J133),Settings!$B$6)</f>
        <v>13050</v>
      </c>
      <c r="L133" s="13" t="n">
        <f aca="false">K133-I133</f>
        <v>3585.5</v>
      </c>
      <c r="M133" s="14" t="n">
        <f aca="false">IF(K133=0,0,L133/K133)</f>
        <v>0.274750957854406</v>
      </c>
      <c r="N133" s="15" t="s">
        <v>459</v>
      </c>
    </row>
    <row r="134" customFormat="false" ht="15" hidden="false" customHeight="false" outlineLevel="0" collapsed="false">
      <c r="A134" s="9" t="n">
        <v>113</v>
      </c>
      <c r="B134" s="9" t="s">
        <v>460</v>
      </c>
      <c r="C134" s="9" t="s">
        <v>461</v>
      </c>
      <c r="D134" s="9" t="s">
        <v>403</v>
      </c>
      <c r="E134" s="10" t="n">
        <v>550</v>
      </c>
      <c r="F134" s="11" t="s">
        <v>33</v>
      </c>
      <c r="G134" s="9" t="s">
        <v>419</v>
      </c>
      <c r="H134" s="12" t="n">
        <f aca="false">IF(D134="Consumables",Settings!$B$4,Settings!$B$3)</f>
        <v>0.15</v>
      </c>
      <c r="I134" s="13" t="n">
        <f aca="false">E134*Settings!$B$2*(1+H134)</f>
        <v>10410.95</v>
      </c>
      <c r="J134" s="14" t="n">
        <f aca="false">Settings!$B$5</f>
        <v>0.375</v>
      </c>
      <c r="K134" s="13" t="n">
        <f aca="false">CEILING(I134*(1+J134),Settings!$B$6)</f>
        <v>14350</v>
      </c>
      <c r="L134" s="13" t="n">
        <f aca="false">K134-I134</f>
        <v>3939.05</v>
      </c>
      <c r="M134" s="14" t="n">
        <f aca="false">IF(K134=0,0,L134/K134)</f>
        <v>0.274498257839721</v>
      </c>
      <c r="N134" s="15" t="s">
        <v>462</v>
      </c>
    </row>
    <row r="135" customFormat="false" ht="15" hidden="false" customHeight="false" outlineLevel="0" collapsed="false">
      <c r="A135" s="9" t="n">
        <v>114</v>
      </c>
      <c r="B135" s="9" t="s">
        <v>463</v>
      </c>
      <c r="C135" s="9" t="s">
        <v>464</v>
      </c>
      <c r="D135" s="9" t="s">
        <v>403</v>
      </c>
      <c r="E135" s="10" t="n">
        <v>350</v>
      </c>
      <c r="F135" s="11" t="s">
        <v>33</v>
      </c>
      <c r="G135" s="9" t="s">
        <v>419</v>
      </c>
      <c r="H135" s="12" t="n">
        <f aca="false">IF(D135="Consumables",Settings!$B$4,Settings!$B$3)</f>
        <v>0.15</v>
      </c>
      <c r="I135" s="13" t="n">
        <f aca="false">E135*Settings!$B$2*(1+H135)</f>
        <v>6625.15</v>
      </c>
      <c r="J135" s="14" t="n">
        <f aca="false">Settings!$B$5</f>
        <v>0.375</v>
      </c>
      <c r="K135" s="13" t="n">
        <f aca="false">CEILING(I135*(1+J135),Settings!$B$6)</f>
        <v>9150</v>
      </c>
      <c r="L135" s="13" t="n">
        <f aca="false">K135-I135</f>
        <v>2524.85</v>
      </c>
      <c r="M135" s="14" t="n">
        <f aca="false">IF(K135=0,0,L135/K135)</f>
        <v>0.275939890710383</v>
      </c>
      <c r="N135" s="15" t="s">
        <v>465</v>
      </c>
    </row>
    <row r="136" customFormat="false" ht="15" hidden="false" customHeight="false" outlineLevel="0" collapsed="false">
      <c r="A136" s="9" t="n">
        <v>115</v>
      </c>
      <c r="B136" s="9" t="s">
        <v>466</v>
      </c>
      <c r="C136" s="9" t="s">
        <v>467</v>
      </c>
      <c r="D136" s="9" t="s">
        <v>403</v>
      </c>
      <c r="E136" s="10" t="n">
        <v>1400</v>
      </c>
      <c r="F136" s="11" t="s">
        <v>33</v>
      </c>
      <c r="G136" s="9" t="s">
        <v>34</v>
      </c>
      <c r="H136" s="12" t="n">
        <f aca="false">IF(D136="Consumables",Settings!$B$4,Settings!$B$3)</f>
        <v>0.15</v>
      </c>
      <c r="I136" s="13" t="n">
        <f aca="false">E136*Settings!$B$2*(1+H136)</f>
        <v>26500.6</v>
      </c>
      <c r="J136" s="14" t="n">
        <f aca="false">Settings!$B$5</f>
        <v>0.375</v>
      </c>
      <c r="K136" s="13" t="n">
        <f aca="false">CEILING(I136*(1+J136),Settings!$B$6)</f>
        <v>36450</v>
      </c>
      <c r="L136" s="13" t="n">
        <f aca="false">K136-I136</f>
        <v>9949.4</v>
      </c>
      <c r="M136" s="14" t="n">
        <f aca="false">IF(K136=0,0,L136/K136)</f>
        <v>0.272960219478738</v>
      </c>
      <c r="N136" s="15" t="s">
        <v>468</v>
      </c>
    </row>
    <row r="137" customFormat="false" ht="15" hidden="false" customHeight="false" outlineLevel="0" collapsed="false">
      <c r="A137" s="9" t="n">
        <v>116</v>
      </c>
      <c r="B137" s="9" t="s">
        <v>469</v>
      </c>
      <c r="C137" s="9" t="s">
        <v>470</v>
      </c>
      <c r="D137" s="9" t="s">
        <v>403</v>
      </c>
      <c r="E137" s="10" t="n">
        <v>1250</v>
      </c>
      <c r="F137" s="11" t="s">
        <v>33</v>
      </c>
      <c r="G137" s="9" t="s">
        <v>34</v>
      </c>
      <c r="H137" s="12" t="n">
        <f aca="false">IF(D137="Consumables",Settings!$B$4,Settings!$B$3)</f>
        <v>0.15</v>
      </c>
      <c r="I137" s="13" t="n">
        <f aca="false">E137*Settings!$B$2*(1+H137)</f>
        <v>23661.25</v>
      </c>
      <c r="J137" s="14" t="n">
        <f aca="false">Settings!$B$5</f>
        <v>0.375</v>
      </c>
      <c r="K137" s="13" t="n">
        <f aca="false">CEILING(I137*(1+J137),Settings!$B$6)</f>
        <v>32550</v>
      </c>
      <c r="L137" s="13" t="n">
        <f aca="false">K137-I137</f>
        <v>8888.75</v>
      </c>
      <c r="M137" s="14" t="n">
        <f aca="false">IF(K137=0,0,L137/K137)</f>
        <v>0.273079877112135</v>
      </c>
      <c r="N137" s="15" t="s">
        <v>471</v>
      </c>
    </row>
    <row r="138" customFormat="false" ht="15" hidden="false" customHeight="false" outlineLevel="0" collapsed="false">
      <c r="A138" s="9" t="n">
        <v>117</v>
      </c>
      <c r="B138" s="9" t="s">
        <v>472</v>
      </c>
      <c r="C138" s="9" t="s">
        <v>473</v>
      </c>
      <c r="D138" s="9" t="s">
        <v>403</v>
      </c>
      <c r="E138" s="10" t="n">
        <v>1500</v>
      </c>
      <c r="F138" s="11" t="s">
        <v>33</v>
      </c>
      <c r="G138" s="9" t="s">
        <v>34</v>
      </c>
      <c r="H138" s="12" t="n">
        <f aca="false">IF(D138="Consumables",Settings!$B$4,Settings!$B$3)</f>
        <v>0.15</v>
      </c>
      <c r="I138" s="13" t="n">
        <f aca="false">E138*Settings!$B$2*(1+H138)</f>
        <v>28393.5</v>
      </c>
      <c r="J138" s="14" t="n">
        <f aca="false">Settings!$B$5</f>
        <v>0.375</v>
      </c>
      <c r="K138" s="13" t="n">
        <f aca="false">CEILING(I138*(1+J138),Settings!$B$6)</f>
        <v>39050</v>
      </c>
      <c r="L138" s="13" t="n">
        <f aca="false">K138-I138</f>
        <v>10656.5</v>
      </c>
      <c r="M138" s="14" t="n">
        <f aca="false">IF(K138=0,0,L138/K138)</f>
        <v>0.272893725992318</v>
      </c>
      <c r="N138" s="15" t="s">
        <v>474</v>
      </c>
    </row>
    <row r="139" customFormat="false" ht="15" hidden="false" customHeight="false" outlineLevel="0" collapsed="false">
      <c r="A139" s="9" t="n">
        <v>118</v>
      </c>
      <c r="B139" s="9" t="s">
        <v>475</v>
      </c>
      <c r="C139" s="9" t="s">
        <v>476</v>
      </c>
      <c r="D139" s="9" t="s">
        <v>403</v>
      </c>
      <c r="E139" s="10" t="n">
        <v>1300</v>
      </c>
      <c r="F139" s="17" t="s">
        <v>83</v>
      </c>
      <c r="G139" s="9" t="s">
        <v>477</v>
      </c>
      <c r="H139" s="12" t="n">
        <f aca="false">IF(D139="Consumables",Settings!$B$4,Settings!$B$3)</f>
        <v>0.15</v>
      </c>
      <c r="I139" s="13" t="n">
        <f aca="false">E139*Settings!$B$2*(1+H139)</f>
        <v>24607.7</v>
      </c>
      <c r="J139" s="14" t="n">
        <f aca="false">Settings!$B$5</f>
        <v>0.375</v>
      </c>
      <c r="K139" s="13" t="n">
        <f aca="false">CEILING(I139*(1+J139),Settings!$B$6)</f>
        <v>33850</v>
      </c>
      <c r="L139" s="13" t="n">
        <f aca="false">K139-I139</f>
        <v>9242.3</v>
      </c>
      <c r="M139" s="14" t="n">
        <f aca="false">IF(K139=0,0,L139/K139)</f>
        <v>0.273036927621861</v>
      </c>
      <c r="N139" s="15" t="s">
        <v>478</v>
      </c>
    </row>
    <row r="140" customFormat="false" ht="15" hidden="false" customHeight="false" outlineLevel="0" collapsed="false">
      <c r="A140" s="9" t="n">
        <v>119</v>
      </c>
      <c r="B140" s="9" t="s">
        <v>479</v>
      </c>
      <c r="C140" s="9" t="s">
        <v>480</v>
      </c>
      <c r="D140" s="9" t="s">
        <v>403</v>
      </c>
      <c r="E140" s="10" t="n">
        <v>120</v>
      </c>
      <c r="F140" s="11" t="s">
        <v>33</v>
      </c>
      <c r="G140" s="9" t="s">
        <v>419</v>
      </c>
      <c r="H140" s="12" t="n">
        <f aca="false">IF(D140="Consumables",Settings!$B$4,Settings!$B$3)</f>
        <v>0.15</v>
      </c>
      <c r="I140" s="13" t="n">
        <f aca="false">E140*Settings!$B$2*(1+H140)</f>
        <v>2271.48</v>
      </c>
      <c r="J140" s="14" t="n">
        <f aca="false">Settings!$B$5</f>
        <v>0.375</v>
      </c>
      <c r="K140" s="13" t="n">
        <f aca="false">CEILING(I140*(1+J140),Settings!$B$6)</f>
        <v>3150</v>
      </c>
      <c r="L140" s="13" t="n">
        <f aca="false">K140-I140</f>
        <v>878.52</v>
      </c>
      <c r="M140" s="14" t="n">
        <f aca="false">IF(K140=0,0,L140/K140)</f>
        <v>0.278895238095238</v>
      </c>
      <c r="N140" s="15" t="s">
        <v>481</v>
      </c>
    </row>
    <row r="141" customFormat="false" ht="15" hidden="false" customHeight="false" outlineLevel="0" collapsed="false">
      <c r="A141" s="9" t="n">
        <v>120</v>
      </c>
      <c r="B141" s="9" t="s">
        <v>482</v>
      </c>
      <c r="C141" s="9" t="s">
        <v>483</v>
      </c>
      <c r="D141" s="9" t="s">
        <v>403</v>
      </c>
      <c r="E141" s="10" t="n">
        <v>350</v>
      </c>
      <c r="F141" s="11" t="s">
        <v>33</v>
      </c>
      <c r="G141" s="9" t="s">
        <v>419</v>
      </c>
      <c r="H141" s="12" t="n">
        <f aca="false">IF(D141="Consumables",Settings!$B$4,Settings!$B$3)</f>
        <v>0.15</v>
      </c>
      <c r="I141" s="13" t="n">
        <f aca="false">E141*Settings!$B$2*(1+H141)</f>
        <v>6625.15</v>
      </c>
      <c r="J141" s="14" t="n">
        <f aca="false">Settings!$B$5</f>
        <v>0.375</v>
      </c>
      <c r="K141" s="13" t="n">
        <f aca="false">CEILING(I141*(1+J141),Settings!$B$6)</f>
        <v>9150</v>
      </c>
      <c r="L141" s="13" t="n">
        <f aca="false">K141-I141</f>
        <v>2524.85</v>
      </c>
      <c r="M141" s="14" t="n">
        <f aca="false">IF(K141=0,0,L141/K141)</f>
        <v>0.275939890710383</v>
      </c>
      <c r="N141" s="15" t="s">
        <v>484</v>
      </c>
    </row>
    <row r="142" customFormat="false" ht="15" hidden="false" customHeight="false" outlineLevel="0" collapsed="false">
      <c r="A142" s="9" t="n">
        <v>121</v>
      </c>
      <c r="B142" s="9" t="s">
        <v>485</v>
      </c>
      <c r="C142" s="9" t="s">
        <v>486</v>
      </c>
      <c r="D142" s="9" t="s">
        <v>403</v>
      </c>
      <c r="E142" s="10" t="n">
        <v>750</v>
      </c>
      <c r="F142" s="11" t="s">
        <v>33</v>
      </c>
      <c r="G142" s="9" t="s">
        <v>419</v>
      </c>
      <c r="H142" s="12" t="n">
        <f aca="false">IF(D142="Consumables",Settings!$B$4,Settings!$B$3)</f>
        <v>0.15</v>
      </c>
      <c r="I142" s="13" t="n">
        <f aca="false">E142*Settings!$B$2*(1+H142)</f>
        <v>14196.75</v>
      </c>
      <c r="J142" s="14" t="n">
        <f aca="false">Settings!$B$5</f>
        <v>0.375</v>
      </c>
      <c r="K142" s="13" t="n">
        <f aca="false">CEILING(I142*(1+J142),Settings!$B$6)</f>
        <v>19550</v>
      </c>
      <c r="L142" s="13" t="n">
        <f aca="false">K142-I142</f>
        <v>5353.25</v>
      </c>
      <c r="M142" s="14" t="n">
        <f aca="false">IF(K142=0,0,L142/K142)</f>
        <v>0.273823529411765</v>
      </c>
      <c r="N142" s="15" t="s">
        <v>487</v>
      </c>
    </row>
    <row r="143" customFormat="false" ht="15" hidden="false" customHeight="false" outlineLevel="0" collapsed="false">
      <c r="A143" s="9" t="n">
        <v>122</v>
      </c>
      <c r="B143" s="9" t="s">
        <v>488</v>
      </c>
      <c r="C143" s="9" t="s">
        <v>489</v>
      </c>
      <c r="D143" s="9" t="s">
        <v>403</v>
      </c>
      <c r="E143" s="10" t="n">
        <v>900</v>
      </c>
      <c r="F143" s="17" t="s">
        <v>83</v>
      </c>
      <c r="G143" s="9" t="s">
        <v>490</v>
      </c>
      <c r="H143" s="12" t="n">
        <f aca="false">IF(D143="Consumables",Settings!$B$4,Settings!$B$3)</f>
        <v>0.15</v>
      </c>
      <c r="I143" s="13" t="n">
        <f aca="false">E143*Settings!$B$2*(1+H143)</f>
        <v>17036.1</v>
      </c>
      <c r="J143" s="14" t="n">
        <f aca="false">Settings!$B$5</f>
        <v>0.375</v>
      </c>
      <c r="K143" s="13" t="n">
        <f aca="false">CEILING(I143*(1+J143),Settings!$B$6)</f>
        <v>23450</v>
      </c>
      <c r="L143" s="13" t="n">
        <f aca="false">K143-I143</f>
        <v>6413.9</v>
      </c>
      <c r="M143" s="14" t="n">
        <f aca="false">IF(K143=0,0,L143/K143)</f>
        <v>0.273513859275053</v>
      </c>
      <c r="N143" s="15" t="s">
        <v>491</v>
      </c>
    </row>
    <row r="144" customFormat="false" ht="15" hidden="false" customHeight="false" outlineLevel="0" collapsed="false">
      <c r="A144" s="9" t="n">
        <v>159</v>
      </c>
      <c r="B144" s="9" t="s">
        <v>492</v>
      </c>
      <c r="C144" s="9" t="s">
        <v>493</v>
      </c>
      <c r="D144" s="9" t="s">
        <v>494</v>
      </c>
      <c r="E144" s="10" t="n">
        <v>800</v>
      </c>
      <c r="F144" s="11" t="s">
        <v>33</v>
      </c>
      <c r="G144" s="9" t="s">
        <v>495</v>
      </c>
      <c r="H144" s="12" t="n">
        <f aca="false">IF(D144="Consumables",Settings!$B$4,Settings!$B$3)</f>
        <v>0.15</v>
      </c>
      <c r="I144" s="13" t="n">
        <f aca="false">E144*Settings!$B$2*(1+H144)</f>
        <v>15143.2</v>
      </c>
      <c r="J144" s="14" t="n">
        <f aca="false">Settings!$B$5</f>
        <v>0.375</v>
      </c>
      <c r="K144" s="13" t="n">
        <f aca="false">CEILING(I144*(1+J144),Settings!$B$6)</f>
        <v>20850</v>
      </c>
      <c r="L144" s="13" t="n">
        <f aca="false">K144-I144</f>
        <v>5706.8</v>
      </c>
      <c r="M144" s="14" t="n">
        <f aca="false">IF(K144=0,0,L144/K144)</f>
        <v>0.273707434052758</v>
      </c>
      <c r="N144" s="15" t="s">
        <v>496</v>
      </c>
    </row>
    <row r="146" customFormat="false" ht="15" hidden="false" customHeight="false" outlineLevel="0" collapsed="false">
      <c r="J146" s="7" t="s">
        <v>497</v>
      </c>
      <c r="K146" s="19" t="n">
        <f aca="false">SUM(K2:K144)</f>
        <v>3484250</v>
      </c>
      <c r="L146" s="19" t="n">
        <f aca="false">SUM(L2:L144)</f>
        <v>952696.239</v>
      </c>
    </row>
  </sheetData>
  <autoFilter ref="A1:N144"/>
  <hyperlinks>
    <hyperlink ref="N2" r:id="rId1" display="https://trimionafrica.co.za/p/m53"/>
    <hyperlink ref="N3" r:id="rId2" display="https://trimionafrica.co.za/p/m54"/>
    <hyperlink ref="N4" r:id="rId3" display="https://trimionafrica.co.za/p/m55"/>
    <hyperlink ref="N5" r:id="rId4" display="https://trimionafrica.co.za/p/m56"/>
    <hyperlink ref="N6" r:id="rId5" display="https://trimionafrica.co.za/p/m57"/>
    <hyperlink ref="N7" r:id="rId6" display="https://trimionafrica.co.za/p/m134"/>
    <hyperlink ref="N8" r:id="rId7" display="https://trimionafrica.co.za/p/m135"/>
    <hyperlink ref="N9" r:id="rId8" display="https://trimionafrica.co.za/p/m136"/>
    <hyperlink ref="N10" r:id="rId9" display="https://trimionafrica.co.za/p/m137"/>
    <hyperlink ref="N11" r:id="rId10" display="https://trimionafrica.co.za/p/m138"/>
    <hyperlink ref="N12" r:id="rId11" display="https://trimionafrica.co.za/p/m139"/>
    <hyperlink ref="N13" r:id="rId12" display="https://trimionafrica.co.za/p/m140"/>
    <hyperlink ref="N14" r:id="rId13" display="https://trimionafrica.co.za/p/m141"/>
    <hyperlink ref="N15" r:id="rId14" display="https://trimionafrica.co.za/p/m142"/>
    <hyperlink ref="N16" r:id="rId15" display="https://trimionafrica.co.za/p/m160"/>
    <hyperlink ref="N17" r:id="rId16" display="https://trimionafrica.co.za/p/m161"/>
    <hyperlink ref="N18" r:id="rId17" display="https://trimionafrica.co.za/p/m162"/>
    <hyperlink ref="N19" r:id="rId18" display="https://trimionafrica.co.za/p/m163"/>
    <hyperlink ref="N20" r:id="rId19" display="https://trimionafrica.co.za/p/m164"/>
    <hyperlink ref="N21" r:id="rId20" display="https://trimionafrica.co.za/p/m34"/>
    <hyperlink ref="N22" r:id="rId21" display="https://trimionafrica.co.za/p/m35"/>
    <hyperlink ref="N23" r:id="rId22" display="https://trimionafrica.co.za/p/m36"/>
    <hyperlink ref="N24" r:id="rId23" display="https://trimionafrica.co.za/p/m37"/>
    <hyperlink ref="N25" r:id="rId24" display="https://trimionafrica.co.za/p/m38"/>
    <hyperlink ref="N26" r:id="rId25" display="https://trimionafrica.co.za/p/m39"/>
    <hyperlink ref="N27" r:id="rId26" display="https://trimionafrica.co.za/p/m40"/>
    <hyperlink ref="N28" r:id="rId27" display="https://trimionafrica.co.za/p/m100"/>
    <hyperlink ref="N29" r:id="rId28" display="https://trimionafrica.co.za/p/m7"/>
    <hyperlink ref="N30" r:id="rId29" display="https://trimionafrica.co.za/p/m8"/>
    <hyperlink ref="N31" r:id="rId30" display="https://trimionafrica.co.za/p/m9"/>
    <hyperlink ref="N32" r:id="rId31" display="https://trimionafrica.co.za/p/m10"/>
    <hyperlink ref="N33" r:id="rId32" display="https://trimionafrica.co.za/p/m11"/>
    <hyperlink ref="N34" r:id="rId33" display="https://trimionafrica.co.za/p/m12"/>
    <hyperlink ref="N35" r:id="rId34" display="https://trimionafrica.co.za/p/m13"/>
    <hyperlink ref="N36" r:id="rId35" display="https://trimionafrica.co.za/p/m14"/>
    <hyperlink ref="N37" r:id="rId36" display="https://trimionafrica.co.za/p/m15"/>
    <hyperlink ref="N38" r:id="rId37" display="https://trimionafrica.co.za/p/m16"/>
    <hyperlink ref="N39" r:id="rId38" display="https://trimionafrica.co.za/p/m18"/>
    <hyperlink ref="N40" r:id="rId39" display="https://trimionafrica.co.za/p/m19"/>
    <hyperlink ref="N41" r:id="rId40" display="https://trimionafrica.co.za/p/m20"/>
    <hyperlink ref="N42" r:id="rId41" display="https://trimionafrica.co.za/p/m21"/>
    <hyperlink ref="N43" r:id="rId42" display="https://trimionafrica.co.za/p/m22"/>
    <hyperlink ref="N44" r:id="rId43" display="https://trimionafrica.co.za/p/m23"/>
    <hyperlink ref="N45" r:id="rId44" display="https://trimionafrica.co.za/p/m24"/>
    <hyperlink ref="N46" r:id="rId45" display="https://trimionafrica.co.za/p/m25"/>
    <hyperlink ref="N47" r:id="rId46" display="https://trimionafrica.co.za/p/m26"/>
    <hyperlink ref="N48" r:id="rId47" display="https://trimionafrica.co.za/p/m27"/>
    <hyperlink ref="N49" r:id="rId48" display="https://trimionafrica.co.za/p/m28"/>
    <hyperlink ref="N50" r:id="rId49" display="https://trimionafrica.co.za/p/m29"/>
    <hyperlink ref="N51" r:id="rId50" display="https://trimionafrica.co.za/p/m30"/>
    <hyperlink ref="N52" r:id="rId51" display="https://trimionafrica.co.za/p/m71"/>
    <hyperlink ref="N53" r:id="rId52" display="https://trimionafrica.co.za/p/m72"/>
    <hyperlink ref="N54" r:id="rId53" display="https://trimionafrica.co.za/p/m73"/>
    <hyperlink ref="N55" r:id="rId54" display="https://trimionafrica.co.za/p/m74"/>
    <hyperlink ref="N56" r:id="rId55" display="https://trimionafrica.co.za/p/m75"/>
    <hyperlink ref="N57" r:id="rId56" display="https://trimionafrica.co.za/p/m76"/>
    <hyperlink ref="N58" r:id="rId57" display="https://trimionafrica.co.za/p/m77"/>
    <hyperlink ref="N59" r:id="rId58" display="https://trimionafrica.co.za/p/m78"/>
    <hyperlink ref="N60" r:id="rId59" display="https://trimionafrica.co.za/p/m79"/>
    <hyperlink ref="N61" r:id="rId60" display="https://trimionafrica.co.za/p/m80"/>
    <hyperlink ref="N62" r:id="rId61" display="https://trimionafrica.co.za/p/m81"/>
    <hyperlink ref="N63" r:id="rId62" display="https://trimionafrica.co.za/p/m82"/>
    <hyperlink ref="N64" r:id="rId63" display="https://trimionafrica.co.za/p/m83"/>
    <hyperlink ref="N65" r:id="rId64" display="https://trimionafrica.co.za/p/m84"/>
    <hyperlink ref="N66" r:id="rId65" display="https://trimionafrica.co.za/p/m85"/>
    <hyperlink ref="N67" r:id="rId66" display="https://trimionafrica.co.za/p/m86"/>
    <hyperlink ref="N68" r:id="rId67" display="https://trimionafrica.co.za/p/m87"/>
    <hyperlink ref="N69" r:id="rId68" display="https://trimionafrica.co.za/p/m88"/>
    <hyperlink ref="N70" r:id="rId69" display="https://trimionafrica.co.za/p/m89"/>
    <hyperlink ref="N71" r:id="rId70" display="https://trimionafrica.co.za/p/m90"/>
    <hyperlink ref="N72" r:id="rId71" display="https://trimionafrica.co.za/p/m91"/>
    <hyperlink ref="N73" r:id="rId72" display="https://trimionafrica.co.za/p/m92"/>
    <hyperlink ref="N74" r:id="rId73" display="https://trimionafrica.co.za/p/m93"/>
    <hyperlink ref="N75" r:id="rId74" display="https://trimionafrica.co.za/p/m94"/>
    <hyperlink ref="N76" r:id="rId75" display="https://trimionafrica.co.za/p/m95"/>
    <hyperlink ref="N77" r:id="rId76" display="https://trimionafrica.co.za/p/m96"/>
    <hyperlink ref="N78" r:id="rId77" display="https://trimionafrica.co.za/p/m97"/>
    <hyperlink ref="N79" r:id="rId78" display="https://trimionafrica.co.za/p/m98"/>
    <hyperlink ref="N80" r:id="rId79" display="https://trimionafrica.co.za/p/m99"/>
    <hyperlink ref="N81" r:id="rId80" display="https://trimionafrica.co.za/p/m59"/>
    <hyperlink ref="N82" r:id="rId81" display="https://trimionafrica.co.za/p/m60"/>
    <hyperlink ref="N83" r:id="rId82" display="https://trimionafrica.co.za/p/m61"/>
    <hyperlink ref="N84" r:id="rId83" display="https://trimionafrica.co.za/p/m62"/>
    <hyperlink ref="N85" r:id="rId84" display="https://trimionafrica.co.za/p/m63"/>
    <hyperlink ref="N86" r:id="rId85" display="https://trimionafrica.co.za/p/m64"/>
    <hyperlink ref="N87" r:id="rId86" display="https://trimionafrica.co.za/p/m65"/>
    <hyperlink ref="N88" r:id="rId87" display="https://trimionafrica.co.za/p/m66"/>
    <hyperlink ref="N89" r:id="rId88" display="https://trimionafrica.co.za/p/m143"/>
    <hyperlink ref="N90" r:id="rId89" display="https://trimionafrica.co.za/p/m144"/>
    <hyperlink ref="N91" r:id="rId90" display="https://trimionafrica.co.za/p/m145"/>
    <hyperlink ref="N92" r:id="rId91" display="https://trimionafrica.co.za/p/m146"/>
    <hyperlink ref="N93" r:id="rId92" display="https://trimionafrica.co.za/p/m147"/>
    <hyperlink ref="N94" r:id="rId93" display="https://trimionafrica.co.za/p/m148"/>
    <hyperlink ref="N95" r:id="rId94" display="https://trimionafrica.co.za/p/m149"/>
    <hyperlink ref="N96" r:id="rId95" display="https://trimionafrica.co.za/p/m150"/>
    <hyperlink ref="N97" r:id="rId96" display="https://trimionafrica.co.za/p/m151"/>
    <hyperlink ref="N98" r:id="rId97" display="https://trimionafrica.co.za/p/m152"/>
    <hyperlink ref="N99" r:id="rId98" display="https://trimionafrica.co.za/p/m153"/>
    <hyperlink ref="N100" r:id="rId99" display="https://trimionafrica.co.za/p/m154"/>
    <hyperlink ref="N101" r:id="rId100" display="https://trimionafrica.co.za/p/m155"/>
    <hyperlink ref="N102" r:id="rId101" display="https://trimionafrica.co.za/p/m156"/>
    <hyperlink ref="N103" r:id="rId102" display="https://trimionafrica.co.za/p/m157"/>
    <hyperlink ref="N104" r:id="rId103" display="https://trimionafrica.co.za/p/m158"/>
    <hyperlink ref="N105" r:id="rId104" display="https://trimionafrica.co.za/p/m123"/>
    <hyperlink ref="N106" r:id="rId105" display="https://trimionafrica.co.za/p/m124"/>
    <hyperlink ref="N107" r:id="rId106" display="https://trimionafrica.co.za/p/m125"/>
    <hyperlink ref="N108" r:id="rId107" display="https://trimionafrica.co.za/p/m126"/>
    <hyperlink ref="N109" r:id="rId108" display="https://trimionafrica.co.za/p/m127"/>
    <hyperlink ref="N110" r:id="rId109" display="https://trimionafrica.co.za/p/m128"/>
    <hyperlink ref="N111" r:id="rId110" display="https://trimionafrica.co.za/p/m129"/>
    <hyperlink ref="N112" r:id="rId111" display="https://trimionafrica.co.za/p/m130"/>
    <hyperlink ref="N113" r:id="rId112" display="https://trimionafrica.co.za/p/m131"/>
    <hyperlink ref="N114" r:id="rId113" display="https://trimionafrica.co.za/p/m132"/>
    <hyperlink ref="N115" r:id="rId114" display="https://trimionafrica.co.za/p/m133"/>
    <hyperlink ref="N116" r:id="rId115" display="https://trimionafrica.co.za/p/m44"/>
    <hyperlink ref="N117" r:id="rId116" display="https://trimionafrica.co.za/p/m45"/>
    <hyperlink ref="N118" r:id="rId117" display="https://trimionafrica.co.za/p/m46"/>
    <hyperlink ref="N119" r:id="rId118" display="https://trimionafrica.co.za/p/m47"/>
    <hyperlink ref="N120" r:id="rId119" display="https://trimionafrica.co.za/p/m48"/>
    <hyperlink ref="N121" r:id="rId120" display="https://trimionafrica.co.za/p/m49"/>
    <hyperlink ref="N122" r:id="rId121" display="https://trimionafrica.co.za/p/m101"/>
    <hyperlink ref="N123" r:id="rId122" display="https://trimionafrica.co.za/p/m102"/>
    <hyperlink ref="N124" r:id="rId123" display="https://trimionafrica.co.za/p/m103"/>
    <hyperlink ref="N125" r:id="rId124" display="https://trimionafrica.co.za/p/m104"/>
    <hyperlink ref="N126" r:id="rId125" display="https://trimionafrica.co.za/p/m105"/>
    <hyperlink ref="N127" r:id="rId126" display="https://trimionafrica.co.za/p/m106"/>
    <hyperlink ref="N128" r:id="rId127" display="https://trimionafrica.co.za/p/m107"/>
    <hyperlink ref="N129" r:id="rId128" display="https://trimionafrica.co.za/p/m108"/>
    <hyperlink ref="N130" r:id="rId129" display="https://trimionafrica.co.za/p/m109"/>
    <hyperlink ref="N131" r:id="rId130" display="https://trimionafrica.co.za/p/m110"/>
    <hyperlink ref="N132" r:id="rId131" display="https://trimionafrica.co.za/p/m111"/>
    <hyperlink ref="N133" r:id="rId132" display="https://trimionafrica.co.za/p/m112"/>
    <hyperlink ref="N134" r:id="rId133" display="https://trimionafrica.co.za/p/m113"/>
    <hyperlink ref="N135" r:id="rId134" display="https://trimionafrica.co.za/p/m114"/>
    <hyperlink ref="N136" r:id="rId135" display="https://trimionafrica.co.za/p/m115"/>
    <hyperlink ref="N137" r:id="rId136" display="https://trimionafrica.co.za/p/m116"/>
    <hyperlink ref="N138" r:id="rId137" display="https://trimionafrica.co.za/p/m117"/>
    <hyperlink ref="N139" r:id="rId138" display="https://trimionafrica.co.za/p/m118"/>
    <hyperlink ref="N140" r:id="rId139" display="https://trimionafrica.co.za/p/m119"/>
    <hyperlink ref="N141" r:id="rId140" display="https://trimionafrica.co.za/p/m120"/>
    <hyperlink ref="N142" r:id="rId141" display="https://trimionafrica.co.za/p/m121"/>
    <hyperlink ref="N143" r:id="rId142" display="https://trimionafrica.co.za/p/m122"/>
    <hyperlink ref="N144" r:id="rId143" display="https://trimionafrica.co.za/p/m15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39.55" hidden="false" customHeight="false" outlineLevel="0" collapsed="false">
      <c r="A1" s="20" t="s">
        <v>16</v>
      </c>
      <c r="B1" s="20" t="s">
        <v>17</v>
      </c>
      <c r="C1" s="20" t="s">
        <v>18</v>
      </c>
      <c r="D1" s="20" t="s">
        <v>19</v>
      </c>
      <c r="E1" s="20" t="s">
        <v>498</v>
      </c>
      <c r="F1" s="20" t="s">
        <v>499</v>
      </c>
    </row>
    <row r="2" customFormat="false" ht="15" hidden="false" customHeight="false" outlineLevel="0" collapsed="false">
      <c r="A2" s="21" t="n">
        <v>1</v>
      </c>
      <c r="B2" s="21" t="s">
        <v>500</v>
      </c>
      <c r="C2" s="21" t="s">
        <v>501</v>
      </c>
      <c r="D2" s="21" t="s">
        <v>128</v>
      </c>
      <c r="E2" s="22" t="n">
        <v>143750</v>
      </c>
      <c r="F2" s="23" t="n">
        <f aca="false">E2/(Settings!$B$2*(1+Settings!$B$3)*(1+Settings!$B$5))</f>
        <v>5523.03103943444</v>
      </c>
    </row>
    <row r="3" customFormat="false" ht="15" hidden="false" customHeight="false" outlineLevel="0" collapsed="false">
      <c r="A3" s="21" t="n">
        <v>2</v>
      </c>
      <c r="B3" s="21" t="s">
        <v>502</v>
      </c>
      <c r="C3" s="21" t="s">
        <v>503</v>
      </c>
      <c r="D3" s="21" t="s">
        <v>128</v>
      </c>
      <c r="E3" s="22" t="n">
        <v>127650</v>
      </c>
      <c r="F3" s="23" t="n">
        <f aca="false">E3/(Settings!$B$2*(1+Settings!$B$3)*(1+Settings!$B$5))</f>
        <v>4904.45156301778</v>
      </c>
    </row>
    <row r="4" customFormat="false" ht="15" hidden="false" customHeight="false" outlineLevel="0" collapsed="false">
      <c r="A4" s="21" t="n">
        <v>3</v>
      </c>
      <c r="B4" s="21" t="s">
        <v>504</v>
      </c>
      <c r="C4" s="21" t="s">
        <v>505</v>
      </c>
      <c r="D4" s="21" t="s">
        <v>128</v>
      </c>
      <c r="E4" s="22" t="n">
        <v>43000</v>
      </c>
      <c r="F4" s="23" t="n">
        <f aca="false">E4/(Settings!$B$2*(1+Settings!$B$3)*(1+Settings!$B$5))</f>
        <v>1652.10667614387</v>
      </c>
    </row>
    <row r="5" customFormat="false" ht="15" hidden="false" customHeight="false" outlineLevel="0" collapsed="false">
      <c r="A5" s="21" t="n">
        <v>4</v>
      </c>
      <c r="B5" s="21" t="s">
        <v>506</v>
      </c>
      <c r="C5" s="21" t="s">
        <v>507</v>
      </c>
      <c r="D5" s="21" t="s">
        <v>128</v>
      </c>
      <c r="E5" s="22" t="n">
        <v>22000</v>
      </c>
      <c r="F5" s="23" t="n">
        <f aca="false">E5/(Settings!$B$2*(1+Settings!$B$3)*(1+Settings!$B$5))</f>
        <v>845.263880817793</v>
      </c>
    </row>
    <row r="6" customFormat="false" ht="15" hidden="false" customHeight="false" outlineLevel="0" collapsed="false">
      <c r="A6" s="21" t="n">
        <v>5</v>
      </c>
      <c r="B6" s="21" t="s">
        <v>508</v>
      </c>
      <c r="C6" s="21" t="s">
        <v>509</v>
      </c>
      <c r="D6" s="21" t="s">
        <v>128</v>
      </c>
      <c r="E6" s="22" t="n">
        <v>20950</v>
      </c>
      <c r="F6" s="23" t="n">
        <f aca="false">E6/(Settings!$B$2*(1+Settings!$B$3)*(1+Settings!$B$5))</f>
        <v>804.921741051489</v>
      </c>
    </row>
    <row r="7" customFormat="false" ht="15" hidden="false" customHeight="false" outlineLevel="0" collapsed="false">
      <c r="A7" s="21" t="n">
        <v>6</v>
      </c>
      <c r="B7" s="21" t="s">
        <v>510</v>
      </c>
      <c r="C7" s="21" t="s">
        <v>511</v>
      </c>
      <c r="D7" s="21" t="s">
        <v>128</v>
      </c>
      <c r="E7" s="22" t="n">
        <v>7500</v>
      </c>
      <c r="F7" s="23" t="n">
        <f aca="false">E7/(Settings!$B$2*(1+Settings!$B$3)*(1+Settings!$B$5))</f>
        <v>288.158141187884</v>
      </c>
    </row>
    <row r="8" customFormat="false" ht="15" hidden="false" customHeight="false" outlineLevel="0" collapsed="false">
      <c r="A8" s="21" t="n">
        <v>17</v>
      </c>
      <c r="B8" s="21" t="s">
        <v>512</v>
      </c>
      <c r="C8" s="21" t="s">
        <v>513</v>
      </c>
      <c r="D8" s="21" t="s">
        <v>128</v>
      </c>
      <c r="E8" s="22" t="n">
        <v>44850</v>
      </c>
      <c r="F8" s="23" t="n">
        <f aca="false">E8/(Settings!$B$2*(1+Settings!$B$3)*(1+Settings!$B$5))</f>
        <v>1723.18568430355</v>
      </c>
    </row>
    <row r="9" customFormat="false" ht="15" hidden="false" customHeight="false" outlineLevel="0" collapsed="false">
      <c r="A9" s="21" t="n">
        <v>31</v>
      </c>
      <c r="B9" s="21" t="s">
        <v>514</v>
      </c>
      <c r="C9" s="21" t="s">
        <v>515</v>
      </c>
      <c r="D9" s="21" t="s">
        <v>100</v>
      </c>
      <c r="E9" s="22" t="n">
        <v>60399</v>
      </c>
      <c r="F9" s="23" t="n">
        <f aca="false">E9/(Settings!$B$2*(1+Settings!$B$3)*(1+Settings!$B$5))</f>
        <v>2320.59514261427</v>
      </c>
    </row>
    <row r="10" customFormat="false" ht="15" hidden="false" customHeight="false" outlineLevel="0" collapsed="false">
      <c r="A10" s="21" t="n">
        <v>32</v>
      </c>
      <c r="B10" s="21" t="s">
        <v>516</v>
      </c>
      <c r="C10" s="21" t="s">
        <v>517</v>
      </c>
      <c r="D10" s="21" t="s">
        <v>100</v>
      </c>
      <c r="E10" s="22" t="n">
        <v>17450</v>
      </c>
      <c r="F10" s="23" t="n">
        <f aca="false">E10/(Settings!$B$2*(1+Settings!$B$3)*(1+Settings!$B$5))</f>
        <v>670.447941830477</v>
      </c>
    </row>
    <row r="11" customFormat="false" ht="15" hidden="false" customHeight="false" outlineLevel="0" collapsed="false">
      <c r="A11" s="21" t="n">
        <v>33</v>
      </c>
      <c r="B11" s="21" t="s">
        <v>518</v>
      </c>
      <c r="C11" s="21" t="s">
        <v>519</v>
      </c>
      <c r="D11" s="21" t="s">
        <v>100</v>
      </c>
      <c r="E11" s="22" t="n">
        <v>17000</v>
      </c>
      <c r="F11" s="23" t="n">
        <f aca="false">E11/(Settings!$B$2*(1+Settings!$B$3)*(1+Settings!$B$5))</f>
        <v>653.158453359204</v>
      </c>
    </row>
    <row r="12" customFormat="false" ht="15" hidden="false" customHeight="false" outlineLevel="0" collapsed="false">
      <c r="A12" s="21" t="n">
        <v>41</v>
      </c>
      <c r="B12" s="21" t="s">
        <v>520</v>
      </c>
      <c r="C12" s="21" t="s">
        <v>521</v>
      </c>
      <c r="D12" s="21" t="s">
        <v>403</v>
      </c>
      <c r="E12" s="22" t="n">
        <v>13199</v>
      </c>
      <c r="F12" s="23" t="n">
        <f aca="false">E12/(Settings!$B$2*(1+Settings!$B$3)*(1+Settings!$B$5))</f>
        <v>507.119907405184</v>
      </c>
    </row>
    <row r="13" customFormat="false" ht="15" hidden="false" customHeight="false" outlineLevel="0" collapsed="false">
      <c r="A13" s="21" t="n">
        <v>42</v>
      </c>
      <c r="B13" s="21" t="s">
        <v>522</v>
      </c>
      <c r="C13" s="21" t="s">
        <v>523</v>
      </c>
      <c r="D13" s="21" t="s">
        <v>403</v>
      </c>
      <c r="E13" s="22" t="n">
        <v>101150</v>
      </c>
      <c r="F13" s="23" t="n">
        <f aca="false">E13/(Settings!$B$2*(1+Settings!$B$3)*(1+Settings!$B$5))</f>
        <v>3886.29279748726</v>
      </c>
    </row>
    <row r="14" customFormat="false" ht="15" hidden="false" customHeight="false" outlineLevel="0" collapsed="false">
      <c r="A14" s="21" t="n">
        <v>43</v>
      </c>
      <c r="B14" s="21" t="s">
        <v>524</v>
      </c>
      <c r="C14" s="21" t="s">
        <v>525</v>
      </c>
      <c r="D14" s="21" t="s">
        <v>403</v>
      </c>
      <c r="E14" s="22" t="n">
        <v>6450</v>
      </c>
      <c r="F14" s="23" t="n">
        <f aca="false">E14/(Settings!$B$2*(1+Settings!$B$3)*(1+Settings!$B$5))</f>
        <v>247.81600142158</v>
      </c>
    </row>
    <row r="15" customFormat="false" ht="15" hidden="false" customHeight="false" outlineLevel="0" collapsed="false">
      <c r="A15" s="21" t="n">
        <v>50</v>
      </c>
      <c r="B15" s="21" t="s">
        <v>526</v>
      </c>
      <c r="C15" s="21" t="s">
        <v>527</v>
      </c>
      <c r="D15" s="21" t="s">
        <v>32</v>
      </c>
      <c r="E15" s="22" t="n">
        <v>18599</v>
      </c>
      <c r="F15" s="23" t="n">
        <f aca="false">E15/(Settings!$B$2*(1+Settings!$B$3)*(1+Settings!$B$5))</f>
        <v>714.59376906046</v>
      </c>
    </row>
    <row r="16" customFormat="false" ht="15" hidden="false" customHeight="false" outlineLevel="0" collapsed="false">
      <c r="A16" s="21" t="n">
        <v>51</v>
      </c>
      <c r="B16" s="21" t="s">
        <v>528</v>
      </c>
      <c r="C16" s="21" t="s">
        <v>529</v>
      </c>
      <c r="D16" s="21" t="s">
        <v>32</v>
      </c>
      <c r="E16" s="22" t="n">
        <v>10999</v>
      </c>
      <c r="F16" s="23" t="n">
        <f aca="false">E16/(Settings!$B$2*(1+Settings!$B$3)*(1+Settings!$B$5))</f>
        <v>422.593519323405</v>
      </c>
    </row>
    <row r="17" customFormat="false" ht="15" hidden="false" customHeight="false" outlineLevel="0" collapsed="false">
      <c r="A17" s="21" t="n">
        <v>52</v>
      </c>
      <c r="B17" s="21" t="s">
        <v>530</v>
      </c>
      <c r="C17" s="21" t="s">
        <v>531</v>
      </c>
      <c r="D17" s="21" t="s">
        <v>32</v>
      </c>
      <c r="E17" s="22" t="n">
        <v>6900</v>
      </c>
      <c r="F17" s="23" t="n">
        <f aca="false">E17/(Settings!$B$2*(1+Settings!$B$3)*(1+Settings!$B$5))</f>
        <v>265.105489892853</v>
      </c>
    </row>
    <row r="18" customFormat="false" ht="15" hidden="false" customHeight="false" outlineLevel="0" collapsed="false">
      <c r="A18" s="21" t="n">
        <v>58</v>
      </c>
      <c r="B18" s="21" t="s">
        <v>532</v>
      </c>
      <c r="C18" s="21" t="s">
        <v>533</v>
      </c>
      <c r="D18" s="21" t="s">
        <v>292</v>
      </c>
      <c r="E18" s="22" t="n">
        <v>49950</v>
      </c>
      <c r="F18" s="23" t="n">
        <f aca="false">E18/(Settings!$B$2*(1+Settings!$B$3)*(1+Settings!$B$5))</f>
        <v>1919.13322031131</v>
      </c>
    </row>
    <row r="19" customFormat="false" ht="15" hidden="false" customHeight="false" outlineLevel="0" collapsed="false">
      <c r="A19" s="21" t="n">
        <v>67</v>
      </c>
      <c r="B19" s="21" t="s">
        <v>534</v>
      </c>
      <c r="C19" s="21" t="s">
        <v>535</v>
      </c>
      <c r="D19" s="21" t="s">
        <v>494</v>
      </c>
      <c r="E19" s="22" t="n">
        <v>35999</v>
      </c>
      <c r="F19" s="23" t="n">
        <f aca="false">E19/(Settings!$B$2*(1+Settings!$B$3)*(1+Settings!$B$5))</f>
        <v>1383.12065661635</v>
      </c>
    </row>
    <row r="20" customFormat="false" ht="15" hidden="false" customHeight="false" outlineLevel="0" collapsed="false">
      <c r="A20" s="21" t="n">
        <v>68</v>
      </c>
      <c r="B20" s="21" t="s">
        <v>536</v>
      </c>
      <c r="C20" s="21" t="s">
        <v>537</v>
      </c>
      <c r="D20" s="21" t="s">
        <v>494</v>
      </c>
      <c r="E20" s="22" t="n">
        <v>12899</v>
      </c>
      <c r="F20" s="23" t="n">
        <f aca="false">E20/(Settings!$B$2*(1+Settings!$B$3)*(1+Settings!$B$5))</f>
        <v>495.593581757669</v>
      </c>
    </row>
    <row r="21" customFormat="false" ht="15" hidden="false" customHeight="false" outlineLevel="0" collapsed="false">
      <c r="A21" s="21" t="n">
        <v>69</v>
      </c>
      <c r="B21" s="21" t="s">
        <v>538</v>
      </c>
      <c r="C21" s="21" t="s">
        <v>539</v>
      </c>
      <c r="D21" s="21" t="s">
        <v>494</v>
      </c>
      <c r="E21" s="22" t="n">
        <v>39999</v>
      </c>
      <c r="F21" s="23" t="n">
        <f aca="false">E21/(Settings!$B$2*(1+Settings!$B$3)*(1+Settings!$B$5))</f>
        <v>1536.80499858322</v>
      </c>
    </row>
    <row r="22" customFormat="false" ht="15" hidden="false" customHeight="false" outlineLevel="0" collapsed="false">
      <c r="A22" s="21" t="n">
        <v>70</v>
      </c>
      <c r="B22" s="21" t="s">
        <v>540</v>
      </c>
      <c r="C22" s="21" t="s">
        <v>541</v>
      </c>
      <c r="D22" s="21" t="s">
        <v>494</v>
      </c>
      <c r="E22" s="22" t="n">
        <v>6999</v>
      </c>
      <c r="F22" s="23" t="n">
        <f aca="false">E22/(Settings!$B$2*(1+Settings!$B$3)*(1+Settings!$B$5))</f>
        <v>268.909177356533</v>
      </c>
    </row>
    <row r="24" customFormat="false" ht="15" hidden="false" customHeight="false" outlineLevel="0" collapsed="false">
      <c r="A24" s="4" t="s">
        <v>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2026-10-14T19:13:32Z</dcterms:created>
  <dc:creator>openpyxl</dc:creator>
  <dc:description/>
  <dc:language>en-US</dc:language>
  <cp:lastModifiedBy/>
  <dcterms:modified xsi:type="dcterms:W3CDTF">2026-10-14T19:13:33Z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